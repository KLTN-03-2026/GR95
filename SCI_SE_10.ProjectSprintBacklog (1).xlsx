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B0116F4-55D5-4D70-A752-3D32D126B998}" xr6:coauthVersionLast="36" xr6:coauthVersionMax="36" xr10:uidLastSave="{00000000-0000-0000-0000-000000000000}"/>
  <bookViews>
    <workbookView xWindow="-108" yWindow="-108" windowWidth="23256" windowHeight="12456" activeTab="3" xr2:uid="{00000000-000D-0000-FFFF-FFFF00000000}"/>
  </bookViews>
  <sheets>
    <sheet name="Sprint 1" sheetId="1" r:id="rId1"/>
    <sheet name="Sprint 2" sheetId="2" r:id="rId2"/>
    <sheet name="Sprint 3" sheetId="3" r:id="rId3"/>
    <sheet name="Total" sheetId="4" r:id="rId4"/>
  </sheets>
  <definedNames>
    <definedName name="_xlchart.v1.0" hidden="1">'Sprint 1'!$I$15</definedName>
    <definedName name="_xlchart.v1.1" hidden="1">'Sprint 1'!$I$16:$I$115</definedName>
    <definedName name="_xlchart.v1.10" hidden="1">'Sprint 1'!$N$15</definedName>
    <definedName name="_xlchart.v1.11" hidden="1">'Sprint 1'!$N$16:$N$115</definedName>
    <definedName name="_xlchart.v1.12" hidden="1">'Sprint 1'!$O$15</definedName>
    <definedName name="_xlchart.v1.13" hidden="1">'Sprint 1'!$O$16:$O$115</definedName>
    <definedName name="_xlchart.v1.14" hidden="1">'Sprint 1'!$P$15</definedName>
    <definedName name="_xlchart.v1.15" hidden="1">'Sprint 1'!$P$16:$P$115</definedName>
    <definedName name="_xlchart.v1.16" hidden="1">'Sprint 1'!$Q$15</definedName>
    <definedName name="_xlchart.v1.17" hidden="1">'Sprint 1'!$Q$16:$Q$115</definedName>
    <definedName name="_xlchart.v1.18" hidden="1">'Sprint 1'!$R$15</definedName>
    <definedName name="_xlchart.v1.19" hidden="1">'Sprint 1'!$R$16:$R$115</definedName>
    <definedName name="_xlchart.v1.2" hidden="1">'Sprint 1'!$J$15</definedName>
    <definedName name="_xlchart.v1.20" hidden="1">'Sprint 1'!$S$15</definedName>
    <definedName name="_xlchart.v1.21" hidden="1">'Sprint 1'!$S$16:$S$115</definedName>
    <definedName name="_xlchart.v1.22" hidden="1">'Sprint 1'!$T$15</definedName>
    <definedName name="_xlchart.v1.23" hidden="1">'Sprint 1'!$T$16:$T$115</definedName>
    <definedName name="_xlchart.v1.24" hidden="1">'Sprint 1'!$U$15</definedName>
    <definedName name="_xlchart.v1.25" hidden="1">'Sprint 1'!$U$16:$U$115</definedName>
    <definedName name="_xlchart.v1.3" hidden="1">'Sprint 1'!$J$16:$J$115</definedName>
    <definedName name="_xlchart.v1.4" hidden="1">'Sprint 1'!$K$15</definedName>
    <definedName name="_xlchart.v1.5" hidden="1">'Sprint 1'!$K$16:$K$115</definedName>
    <definedName name="_xlchart.v1.6" hidden="1">'Sprint 1'!$L$15</definedName>
    <definedName name="_xlchart.v1.7" hidden="1">'Sprint 1'!$L$16:$L$115</definedName>
    <definedName name="_xlchart.v1.8" hidden="1">'Sprint 1'!$M$15</definedName>
    <definedName name="_xlchart.v1.9" hidden="1">'Sprint 1'!$M$16:$M$115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W90" i="3"/>
  <c r="U90" i="3"/>
  <c r="U91" i="3"/>
  <c r="N90" i="3"/>
  <c r="N91" i="3"/>
  <c r="V90" i="3"/>
  <c r="T90" i="3"/>
  <c r="Q90" i="3"/>
  <c r="O90" i="3"/>
  <c r="M90" i="3"/>
  <c r="L90" i="3"/>
  <c r="K90" i="3"/>
  <c r="J90" i="3"/>
  <c r="X91" i="3"/>
  <c r="W91" i="3"/>
  <c r="V91" i="3"/>
  <c r="T91" i="3"/>
  <c r="S91" i="3"/>
  <c r="R91" i="3"/>
  <c r="Q91" i="3"/>
  <c r="P91" i="3"/>
  <c r="O91" i="3"/>
  <c r="M91" i="3"/>
  <c r="L91" i="3"/>
  <c r="K91" i="3"/>
  <c r="J91" i="3"/>
  <c r="I91" i="3"/>
  <c r="H91" i="3"/>
  <c r="G91" i="3"/>
  <c r="X90" i="3"/>
  <c r="S90" i="3"/>
  <c r="R90" i="3"/>
  <c r="P90" i="3"/>
  <c r="I90" i="3"/>
  <c r="H90" i="3"/>
  <c r="G90" i="3"/>
  <c r="E12" i="3"/>
  <c r="D12" i="3"/>
  <c r="E11" i="3"/>
  <c r="D11" i="3"/>
  <c r="E10" i="3"/>
  <c r="D10" i="3"/>
  <c r="E9" i="3"/>
  <c r="D9" i="3"/>
  <c r="E8" i="3"/>
  <c r="D8" i="3"/>
  <c r="AC106" i="2"/>
  <c r="Z106" i="2"/>
  <c r="Y106" i="2"/>
  <c r="X106" i="2"/>
  <c r="W106" i="2"/>
  <c r="V106" i="2"/>
  <c r="U106" i="2"/>
  <c r="Q106" i="2"/>
  <c r="O106" i="2"/>
  <c r="N106" i="2"/>
  <c r="K106" i="2"/>
  <c r="AD107" i="2"/>
  <c r="AD106" i="2"/>
  <c r="AC107" i="2"/>
  <c r="AB107" i="2"/>
  <c r="AB106" i="2"/>
  <c r="AA107" i="2"/>
  <c r="AA106" i="2"/>
  <c r="Z107" i="2"/>
  <c r="Y107" i="2"/>
  <c r="X107" i="2"/>
  <c r="W107" i="2"/>
  <c r="V107" i="2"/>
  <c r="U107" i="2"/>
  <c r="T107" i="2"/>
  <c r="T106" i="2"/>
  <c r="S107" i="2"/>
  <c r="S106" i="2"/>
  <c r="R107" i="2"/>
  <c r="R106" i="2"/>
  <c r="Q107" i="2"/>
  <c r="P107" i="2"/>
  <c r="P106" i="2"/>
  <c r="O107" i="2"/>
  <c r="N107" i="2"/>
  <c r="M107" i="2"/>
  <c r="M106" i="2"/>
  <c r="L107" i="2"/>
  <c r="L106" i="2"/>
  <c r="K107" i="2"/>
  <c r="J107" i="2"/>
  <c r="J106" i="2"/>
  <c r="I107" i="2"/>
  <c r="I106" i="2"/>
  <c r="H107" i="2"/>
  <c r="H106" i="2"/>
  <c r="G107" i="2"/>
  <c r="G106" i="2"/>
  <c r="E12" i="2"/>
  <c r="D12" i="2"/>
  <c r="E11" i="2"/>
  <c r="D11" i="2"/>
  <c r="E10" i="2"/>
  <c r="D10" i="2"/>
  <c r="E9" i="2"/>
  <c r="D9" i="2"/>
  <c r="E8" i="2"/>
  <c r="D8" i="2"/>
  <c r="E11" i="1"/>
  <c r="D11" i="1"/>
  <c r="E12" i="1"/>
  <c r="D12" i="1"/>
  <c r="E10" i="1"/>
  <c r="D10" i="1"/>
  <c r="E8" i="1"/>
  <c r="E9" i="1"/>
  <c r="D9" i="1"/>
  <c r="U114" i="1"/>
  <c r="U115" i="1"/>
  <c r="R114" i="1"/>
  <c r="Q114" i="1"/>
  <c r="P114" i="1"/>
  <c r="O114" i="1"/>
  <c r="K114" i="1"/>
  <c r="K115" i="1"/>
  <c r="O115" i="1"/>
  <c r="T115" i="1"/>
  <c r="T114" i="1"/>
  <c r="S115" i="1"/>
  <c r="S114" i="1"/>
  <c r="R115" i="1"/>
  <c r="Q115" i="1"/>
  <c r="P115" i="1"/>
  <c r="N115" i="1"/>
  <c r="N114" i="1"/>
  <c r="M115" i="1"/>
  <c r="M114" i="1"/>
  <c r="L115" i="1"/>
  <c r="L114" i="1"/>
  <c r="J115" i="1"/>
  <c r="J114" i="1"/>
  <c r="I115" i="1"/>
  <c r="I114" i="1"/>
  <c r="G114" i="1"/>
  <c r="G115" i="1"/>
  <c r="E13" i="3" l="1"/>
  <c r="D13" i="3"/>
  <c r="E13" i="2"/>
  <c r="D13" i="2"/>
  <c r="C4" i="4" l="1"/>
  <c r="G6" i="4" l="1"/>
  <c r="K6" i="4"/>
  <c r="I6" i="4"/>
  <c r="E6" i="4"/>
  <c r="C6" i="4"/>
  <c r="J6" i="4"/>
  <c r="J4" i="4"/>
  <c r="H6" i="4"/>
  <c r="H4" i="4"/>
  <c r="F6" i="4"/>
  <c r="F5" i="4"/>
  <c r="D6" i="4"/>
  <c r="D5" i="4"/>
  <c r="B6" i="4"/>
  <c r="B5" i="4"/>
  <c r="K5" i="4"/>
  <c r="I5" i="4"/>
  <c r="K4" i="4"/>
  <c r="I4" i="4"/>
  <c r="G5" i="4"/>
  <c r="G4" i="4"/>
  <c r="E5" i="4"/>
  <c r="E4" i="4"/>
  <c r="C5" i="4"/>
  <c r="J5" i="4"/>
  <c r="H5" i="4"/>
  <c r="F4" i="4"/>
  <c r="D4" i="4"/>
  <c r="B4" i="4"/>
  <c r="F7" i="4" l="1"/>
  <c r="D7" i="4"/>
  <c r="K7" i="4"/>
  <c r="B7" i="4"/>
  <c r="C7" i="4"/>
  <c r="G7" i="4"/>
  <c r="J7" i="4"/>
  <c r="E7" i="4"/>
  <c r="I7" i="4"/>
  <c r="H7" i="4"/>
  <c r="E13" i="1"/>
  <c r="D13" i="1"/>
  <c r="F11" i="4" l="1"/>
  <c r="F12" i="4"/>
</calcChain>
</file>

<file path=xl/sharedStrings.xml><?xml version="1.0" encoding="utf-8"?>
<sst xmlns="http://schemas.openxmlformats.org/spreadsheetml/2006/main" count="601" uniqueCount="257">
  <si>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</si>
  <si>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</si>
  <si>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</si>
  <si>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</si>
  <si>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</si>
  <si>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</si>
  <si>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</si>
  <si>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</si>
  <si>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</si>
  <si>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</si>
  <si>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</si>
  <si>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</si>
  <si>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</si>
  <si>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</si>
  <si>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</si>
  <si>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</si>
  <si>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Giao diện đăng nhập</t>
  </si>
  <si>
    <t>User interface design</t>
  </si>
  <si>
    <t>Thiết kế trường kiểm thử cho đăng nhập</t>
  </si>
  <si>
    <t>Review all test case of sprint 1</t>
  </si>
  <si>
    <t>Review all user interfaces of sprint 1</t>
  </si>
  <si>
    <t>Design test case</t>
  </si>
  <si>
    <t>Thiết kê front-end cho đăng nhập</t>
  </si>
  <si>
    <t xml:space="preserve">Integrate code </t>
  </si>
  <si>
    <t>Coding</t>
  </si>
  <si>
    <t>Kiểm tra đăng nhập</t>
  </si>
  <si>
    <t>Testing</t>
  </si>
  <si>
    <t>Sửa lỗi đăng nhập</t>
  </si>
  <si>
    <t>Fix Bug</t>
  </si>
  <si>
    <t>Sprint 1 review meeting</t>
  </si>
  <si>
    <t>Sprint 1 retrospective</t>
  </si>
  <si>
    <t>Release Sprint 1</t>
  </si>
  <si>
    <t>Sprint 2</t>
  </si>
  <si>
    <t>Sprint 3</t>
  </si>
  <si>
    <t>SPRINT 3 REPORT</t>
  </si>
  <si>
    <t>SPRINT 2 REPORT</t>
  </si>
  <si>
    <t>Re-testing</t>
  </si>
  <si>
    <t>Sprint 2 review meeting</t>
  </si>
  <si>
    <t>Sprint 2 retrospective</t>
  </si>
  <si>
    <t>Tạo Sprint Backlog 2</t>
  </si>
  <si>
    <t>Tạo Sprint Backlog 3</t>
  </si>
  <si>
    <t>Review all user interfaces of sprint 2</t>
  </si>
  <si>
    <t>Sprint 3 review meeting</t>
  </si>
  <si>
    <t>Sprint 3 retrospective</t>
  </si>
  <si>
    <t>All team</t>
  </si>
  <si>
    <t>Ước tính</t>
  </si>
  <si>
    <t>Thành viên</t>
  </si>
  <si>
    <t>SPRINT BACKLOG REPORT</t>
  </si>
  <si>
    <t>FINAL TOTAL</t>
  </si>
  <si>
    <t>Trước thời hạn</t>
  </si>
  <si>
    <t>Muộn</t>
  </si>
  <si>
    <t>Kết thúc đúng hạn</t>
  </si>
  <si>
    <t>Giao diện đăng xuất</t>
  </si>
  <si>
    <t>Thiết kế trường kiểm thử cho đăng xuất</t>
  </si>
  <si>
    <t>Phương</t>
  </si>
  <si>
    <t>Thiết kê front-end cho đăng xuất</t>
  </si>
  <si>
    <t>Thành</t>
  </si>
  <si>
    <t>Kiểm tra đăng xuất</t>
  </si>
  <si>
    <t>Sửa lỗi đăng xuất</t>
  </si>
  <si>
    <t>Xây dựng hệ thống thương mại điện tử mỹ phẩm Hamoni Cosmetic tích hợp Chatbox AI</t>
  </si>
  <si>
    <t>22/03/2026</t>
  </si>
  <si>
    <t>Nhan Thị Ngọc Nữ</t>
  </si>
  <si>
    <t>Đinh Thị Phương</t>
  </si>
  <si>
    <t>Nguyễn Quốc Tấn</t>
  </si>
  <si>
    <t>Phan Hồ Phi Việt</t>
  </si>
  <si>
    <t>Tấn, Việt</t>
  </si>
  <si>
    <t>Nữ</t>
  </si>
  <si>
    <t>Giao diện đăng kí</t>
  </si>
  <si>
    <t>Giao diện cập nhật thông tin</t>
  </si>
  <si>
    <t>Giao diện phân quyền người dùng</t>
  </si>
  <si>
    <t>Giao diện quản lý khách hàng</t>
  </si>
  <si>
    <t>Giao diện quản lý danh mục sản phẩm</t>
  </si>
  <si>
    <t xml:space="preserve">Giao diện quản lý banner </t>
  </si>
  <si>
    <t xml:space="preserve">Giao diện quản lý sản phẩm </t>
  </si>
  <si>
    <t>Giao diện quản lý nhân viên</t>
  </si>
  <si>
    <t>Giao diện trang chủ</t>
  </si>
  <si>
    <t>Thiết kế trường kiểm thử cho đăng kí</t>
  </si>
  <si>
    <t>Thiết kế trường kiểm thử cho cập nhật thông tin</t>
  </si>
  <si>
    <t>Thiết kế trường kiểm thử cho phân quyền người dùng</t>
  </si>
  <si>
    <t>Thiết kế trường kiểm thử cho quản lý khách hàng</t>
  </si>
  <si>
    <t>Thiết kế trường kiểm thử cho quản lý danh mục sản phẩm</t>
  </si>
  <si>
    <t xml:space="preserve">Thiết kế trường kiểm thử cho quản lý banner </t>
  </si>
  <si>
    <t xml:space="preserve">Thiết kế trường kiểm thử cho quản lý sản phẩm </t>
  </si>
  <si>
    <t>Thiết kế trường kiểm thử cho quản lý nhân viên</t>
  </si>
  <si>
    <t>Thiết kế trường kiểm thử cho trang chủ</t>
  </si>
  <si>
    <t>Tấn</t>
  </si>
  <si>
    <t>Việt</t>
  </si>
  <si>
    <t>Thiết kê front-end cho đăng kí</t>
  </si>
  <si>
    <t>Thiết kê front-end cho cập nhật thông tin</t>
  </si>
  <si>
    <t>Thiết kê front-end cho phân quyền người dùng</t>
  </si>
  <si>
    <t>Thiết kê front-end cho quản lý khách hàng</t>
  </si>
  <si>
    <t>Thiết kê front-end cho quản lý danh mục sản phẩm</t>
  </si>
  <si>
    <t xml:space="preserve">Thiết kê front-end cho quản lý banner </t>
  </si>
  <si>
    <t xml:space="preserve">Thiết kê front-end cho quản lý sản phẩm </t>
  </si>
  <si>
    <t>Thiết kê front-end cho quản lý nhân viên</t>
  </si>
  <si>
    <t>Thiết kê front-end cho trang chủ</t>
  </si>
  <si>
    <t>Code back-end cho đăng kí</t>
  </si>
  <si>
    <t>Code back-end  cho đăng nhập</t>
  </si>
  <si>
    <t>Code back-end  cho đăng xuất</t>
  </si>
  <si>
    <t>Code back-end  cho cập nhật thông tin</t>
  </si>
  <si>
    <t>Code back-end  cho phân quyền người dùng</t>
  </si>
  <si>
    <t>Code back-end  cho quản lý khách hàng</t>
  </si>
  <si>
    <t>Code back-end quản lý danh mục sản phẩm</t>
  </si>
  <si>
    <t xml:space="preserve">Code back-end  cho quản lý banner </t>
  </si>
  <si>
    <t xml:space="preserve">Code back-end  cho quản lý sản phẩm </t>
  </si>
  <si>
    <t>Code back-end  cho trang chủ</t>
  </si>
  <si>
    <t>Code back-end  cho quản lý nhân viên</t>
  </si>
  <si>
    <t>Thành, Phương, Việt, Tấn</t>
  </si>
  <si>
    <t>Kiểm tra đăng kí</t>
  </si>
  <si>
    <t>Kiểm tra cập nhật thông tin</t>
  </si>
  <si>
    <t>Kiểm tra phân quyền người dùng</t>
  </si>
  <si>
    <t>Kiểm tra quản lý khách hàng</t>
  </si>
  <si>
    <t>Kiểm tra quản lý danh mục sản phẩm</t>
  </si>
  <si>
    <t xml:space="preserve">Kiểm tra quản lý banner </t>
  </si>
  <si>
    <t xml:space="preserve">Kiểm tra quản lý sản phẩm </t>
  </si>
  <si>
    <t>Kiểm tra quản lý nhân viên</t>
  </si>
  <si>
    <t>Kiểm tra trang chủ</t>
  </si>
  <si>
    <t>Sửa lỗi đăng kí</t>
  </si>
  <si>
    <t>Sửa lỗi cập nhật thông tin</t>
  </si>
  <si>
    <t>Sửa lỗi phân quyền người dùng</t>
  </si>
  <si>
    <t>Sửa lỗi quản lý khách hàng</t>
  </si>
  <si>
    <t>Sửa lỗi quản lý danh mục sản phẩm</t>
  </si>
  <si>
    <t xml:space="preserve">Sửa lỗi quản lý banner </t>
  </si>
  <si>
    <t xml:space="preserve">Sửa lỗi quản lý sản phẩm </t>
  </si>
  <si>
    <t>Sửa lỗi quản lý nhân viên</t>
  </si>
  <si>
    <t>Sửa lỗi trang chủ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</si>
  <si>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</si>
  <si>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</si>
  <si>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</si>
  <si>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</si>
  <si>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</si>
  <si>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</si>
  <si>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</si>
  <si>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</si>
  <si>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</si>
  <si>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</si>
  <si>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Nguyễn Công Thành</t>
  </si>
  <si>
    <t>22/04/2026</t>
  </si>
  <si>
    <t>Giao diện xeam chi tiết đơn hàng</t>
  </si>
  <si>
    <t>Giao diện xem lịch sử đơn hàng</t>
  </si>
  <si>
    <t>Giao diện quản lý kho</t>
  </si>
  <si>
    <t>Giao diện thống kê báo cáo</t>
  </si>
  <si>
    <t>Giao diện đánh giá sản phẩm</t>
  </si>
  <si>
    <t>Giao diện quản lý khuyến mãi</t>
  </si>
  <si>
    <t>Giao diện quản lý voucher</t>
  </si>
  <si>
    <t>Giao diện quản lý đơn hàng</t>
  </si>
  <si>
    <t>Giao diện quản lý đánh giá</t>
  </si>
  <si>
    <t>Giao diện quản lý chatbot</t>
  </si>
  <si>
    <t>Thiết kế trường kiểm thử xem chi tiết đơn hàng</t>
  </si>
  <si>
    <t>Thiết kế trường kiểm thử xem lịch sử đơn hàng</t>
  </si>
  <si>
    <t>Thiết kế trường kiểm thử quản lý kho</t>
  </si>
  <si>
    <t>Thiết kế trường kiểm thử thống kê báo cáo</t>
  </si>
  <si>
    <t>Thiết kế trường kiểm thử đánh giá sản phẩm</t>
  </si>
  <si>
    <t>Thiết kế trường kiểm thử quản lý khuyến mãi</t>
  </si>
  <si>
    <t>Thiết kế trường kiểm thử quản lý voucher</t>
  </si>
  <si>
    <t>Thiết kế trường kiểm thử quản lý đơn hàng</t>
  </si>
  <si>
    <t>Thiết kế trường kiểm thử quản lý đánh giá</t>
  </si>
  <si>
    <t>Thiết kế trường kiểm thử quản lý chatbot</t>
  </si>
  <si>
    <t>Kiểm thử xem chi tiết đơn hàng</t>
  </si>
  <si>
    <t>Kiểm thử xem lịch sử đơn hàng</t>
  </si>
  <si>
    <t>Kiểm thử quản lý kho</t>
  </si>
  <si>
    <t>Kiểm thử thống kê báo cáo</t>
  </si>
  <si>
    <t>Kiểm thử đánh giá sản phẩm</t>
  </si>
  <si>
    <t>Kiểm thử quản lý khuyến mãi</t>
  </si>
  <si>
    <t>Kiểm thử quản lý voucher</t>
  </si>
  <si>
    <t>Kiểm thử quản lý đơn hàng</t>
  </si>
  <si>
    <t>Kiểm thử quản lý đánh giá</t>
  </si>
  <si>
    <t>Kiểm thử quản lý chatbot</t>
  </si>
  <si>
    <t>Sửa lỗi xem chi tiết đơn hàng</t>
  </si>
  <si>
    <t>Sửa lỗi xem lịch sử đơn hàng</t>
  </si>
  <si>
    <t>Sửa lỗi quản lý kho</t>
  </si>
  <si>
    <t>Sửa lỗi thống kê báo cáo</t>
  </si>
  <si>
    <t>Sửa lỗi đánh giá sản phẩm</t>
  </si>
  <si>
    <t>Sửa lỗi quản lý khuyến mãi</t>
  </si>
  <si>
    <t>Sửa lỗi quản lý voucher</t>
  </si>
  <si>
    <t>Sửa lỗi quản lý đơn hàng</t>
  </si>
  <si>
    <t>Sửa lỗi quản lý đánh giá</t>
  </si>
  <si>
    <t>Sửa lỗi quản lý chatbot</t>
  </si>
  <si>
    <t>Kiểm tra xem chi tiết đơn hàng</t>
  </si>
  <si>
    <t>Kiểm tra xem lịch sử đơn hàng</t>
  </si>
  <si>
    <t>Kiểm tra quản lý kho</t>
  </si>
  <si>
    <t>Kiểm tra thống kê báo cáo</t>
  </si>
  <si>
    <t>Kiểm tra đánh giá sản phẩm</t>
  </si>
  <si>
    <t>Kiểm tra quản lý khuyến mãi</t>
  </si>
  <si>
    <t>Kiểm tra quản lý voucher</t>
  </si>
  <si>
    <t>Kiểm tra quản lý đơn hàng</t>
  </si>
  <si>
    <t>Kiểm tra quản lý đánh giá</t>
  </si>
  <si>
    <t>Kiểm tra quản lý chatbot</t>
  </si>
  <si>
    <t>Thiết kê front-end cho xeam chi tiết đơn hàng</t>
  </si>
  <si>
    <t>Thiết kê front-end cho xem lịch sử đơn hàng</t>
  </si>
  <si>
    <t>Thiết kê front-end cho quản lý kho</t>
  </si>
  <si>
    <t>Thiết kê front-end cho thống kê báo cáo</t>
  </si>
  <si>
    <t>Thiết kê front-end cho đánh giá sản phẩm</t>
  </si>
  <si>
    <t>Thiết kê front-end cho quản lý khuyến mãi</t>
  </si>
  <si>
    <t>Thiết kê front-end cho quản lý voucher</t>
  </si>
  <si>
    <t>Thiết kê front-end cho quản lý đơn hàng</t>
  </si>
  <si>
    <t>Thiết kê front-end cho quản lý đánh giá</t>
  </si>
  <si>
    <t>Thiết kê front-end cho quản lý chatbot</t>
  </si>
  <si>
    <t>Code back-end cho xeam chi tiết đơn hàng</t>
  </si>
  <si>
    <t>Code back-end cho xem lịch sử đơn hàng</t>
  </si>
  <si>
    <t>Code back-end cho quản lý kho</t>
  </si>
  <si>
    <t>Code back-end cho thống kê báo cáo</t>
  </si>
  <si>
    <t>Code back-end cho đánh giá sản phẩm</t>
  </si>
  <si>
    <t>Code back-end cho quản lý khuyến mãi</t>
  </si>
  <si>
    <t>Code back-end cho quản lý voucher</t>
  </si>
  <si>
    <t>Code back-end cho quản lý đơn hàng</t>
  </si>
  <si>
    <t>Code back-end cho quản lý đánh giá</t>
  </si>
  <si>
    <t>Code back-end cho quản lý chatbot</t>
  </si>
  <si>
    <t>Việt, Phương</t>
  </si>
  <si>
    <t>Giao diện tìm kiếm</t>
  </si>
  <si>
    <t>Giao diện xem chi tiết sản phẩm</t>
  </si>
  <si>
    <t>Giao diện giỏ hàng</t>
  </si>
  <si>
    <t>Giao diện thanh toán</t>
  </si>
  <si>
    <t>Giao diện quên mật khẩu</t>
  </si>
  <si>
    <t>Giao diện chatbot</t>
  </si>
  <si>
    <t>Giao diện thêm sản phẩm vào giỏ hàng</t>
  </si>
  <si>
    <t>Giao diện mua hàng</t>
  </si>
  <si>
    <t>Thiết kế trường kiểm thử cho tìm kiếm</t>
  </si>
  <si>
    <t>Thiết kế trường kiểm thử cho xem chi tiết sản phẩm</t>
  </si>
  <si>
    <t>Thiết kế trường kiểm thử cho giỏ hàng</t>
  </si>
  <si>
    <t>Thiết kế trường kiểm thử cho thanh toán</t>
  </si>
  <si>
    <t>Thiết kế trường kiểm thử cho quên mật khẩu</t>
  </si>
  <si>
    <t>Thiết kế trường kiểm thử cho chatbot</t>
  </si>
  <si>
    <t>Thiết kế trường kiểm thử cho thêm sản phẩm vào giỏ hàng</t>
  </si>
  <si>
    <t>Thiết kế trường kiểm thử cho mua hàng</t>
  </si>
  <si>
    <t>Kiểm tra tìm kiếm</t>
  </si>
  <si>
    <t>Kiểm tra xem chi tiết sản phẩm</t>
  </si>
  <si>
    <t>Kiểm tra giỏ hàng</t>
  </si>
  <si>
    <t>Kiểm tra thanh toán</t>
  </si>
  <si>
    <t>Kiểm tra quên mật khẩu</t>
  </si>
  <si>
    <t>Kiểm tra chatbot</t>
  </si>
  <si>
    <t>Kiểm tra thêm sản phẩm vào giỏ hàng</t>
  </si>
  <si>
    <t>Kiểm tra mua hàng</t>
  </si>
  <si>
    <t>Sửa lỗi tìm kiếm</t>
  </si>
  <si>
    <t>Sửa lỗi xem chi tiết sản phẩm</t>
  </si>
  <si>
    <t>Sửa lỗi giỏ hàng</t>
  </si>
  <si>
    <t>Sửa lỗi thanh toán</t>
  </si>
  <si>
    <t>Sửa lỗi quên mật khẩu</t>
  </si>
  <si>
    <t>Sửa lỗi chatbot</t>
  </si>
  <si>
    <t>Sửa lỗi thêm sản phẩm vào giỏ hàng</t>
  </si>
  <si>
    <t>Sửa lỗi mua hàng</t>
  </si>
  <si>
    <t>Thiết kê front-end tìm kiếm</t>
  </si>
  <si>
    <t>Thiết kê front-end giỏ hàng</t>
  </si>
  <si>
    <t>Thiết kê front-end thanh toán</t>
  </si>
  <si>
    <t>Thiết kê front-end quên mật khẩu</t>
  </si>
  <si>
    <t>Thiết kê front-end chatbot</t>
  </si>
  <si>
    <t>Thiết kê front-end thêm sản phẩm vào giỏ hàng</t>
  </si>
  <si>
    <t>Thiết kê front-end mua hàng</t>
  </si>
  <si>
    <t>Thiết kê front-end xem chi tiết sản phẩm</t>
  </si>
  <si>
    <t>Code back-end tìm kiếm</t>
  </si>
  <si>
    <t>Code back-end giỏ hàng</t>
  </si>
  <si>
    <t>Code back-end thanh toán</t>
  </si>
  <si>
    <t>Code back-end quên mật khẩu</t>
  </si>
  <si>
    <t>Code back-end chatbot</t>
  </si>
  <si>
    <t>Code back-end thêm sản phẩm vào giỏ hàng</t>
  </si>
  <si>
    <t>Code back-end mua hàng</t>
  </si>
  <si>
    <t>Code back-end xem chi tiết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</si>
</sst>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4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2" xfId="0" applyFont="1" applyBorder="1"/>
    <xf numFmtId="0" fontId="2" fillId="5" borderId="2" xfId="0" applyFont="1" applyFill="1" applyBorder="1"/>
    <xf numFmtId="0" fontId="2" fillId="6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2" fillId="8" borderId="7" xfId="0" applyFont="1" applyFill="1" applyBorder="1" applyAlignment="1">
      <alignment horizontal="left" vertical="center"/>
    </xf>
    <xf numFmtId="0" fontId="1" fillId="8" borderId="5" xfId="0" applyFont="1" applyFill="1" applyBorder="1"/>
    <xf numFmtId="0" fontId="1" fillId="0" borderId="6" xfId="0" applyFont="1" applyBorder="1"/>
    <xf numFmtId="0" fontId="1" fillId="8" borderId="7" xfId="0" applyFont="1" applyFill="1" applyBorder="1"/>
    <xf numFmtId="0" fontId="1" fillId="0" borderId="9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2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1" fillId="0" borderId="0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2" fillId="9" borderId="0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2" fillId="9" borderId="2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168303363972944E-2"/>
          <c:y val="0.101687175828912"/>
          <c:w val="0.83185197850550407"/>
          <c:h val="0.84181481921901491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46114</c:v>
                </c:pt>
                <c:pt idx="1">
                  <c:v>46115</c:v>
                </c:pt>
                <c:pt idx="2">
                  <c:v>46116</c:v>
                </c:pt>
                <c:pt idx="3">
                  <c:v>46117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46124</c:v>
                </c:pt>
                <c:pt idx="11">
                  <c:v>46125</c:v>
                </c:pt>
                <c:pt idx="12">
                  <c:v>46126</c:v>
                </c:pt>
                <c:pt idx="13">
                  <c:v>46127</c:v>
                </c:pt>
                <c:pt idx="14">
                  <c:v>46128</c:v>
                </c:pt>
                <c:pt idx="15">
                  <c:v>46129</c:v>
                </c:pt>
                <c:pt idx="16">
                  <c:v>46130</c:v>
                </c:pt>
                <c:pt idx="17">
                  <c:v>46131</c:v>
                </c:pt>
                <c:pt idx="18">
                  <c:v>46132</c:v>
                </c:pt>
                <c:pt idx="19">
                  <c:v>46133</c:v>
                </c:pt>
                <c:pt idx="20">
                  <c:v>46134</c:v>
                </c:pt>
              </c:numCache>
            </c:numRef>
          </c:cat>
          <c:val>
            <c:numRef>
              <c:f>'Sprint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F95-B475-BD0333B2485A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46114</c:v>
                </c:pt>
                <c:pt idx="1">
                  <c:v>46115</c:v>
                </c:pt>
                <c:pt idx="2">
                  <c:v>46116</c:v>
                </c:pt>
                <c:pt idx="3">
                  <c:v>46117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46124</c:v>
                </c:pt>
                <c:pt idx="11">
                  <c:v>46125</c:v>
                </c:pt>
                <c:pt idx="12">
                  <c:v>46126</c:v>
                </c:pt>
                <c:pt idx="13">
                  <c:v>46127</c:v>
                </c:pt>
                <c:pt idx="14">
                  <c:v>46128</c:v>
                </c:pt>
                <c:pt idx="15">
                  <c:v>46129</c:v>
                </c:pt>
                <c:pt idx="16">
                  <c:v>46130</c:v>
                </c:pt>
                <c:pt idx="17">
                  <c:v>46131</c:v>
                </c:pt>
                <c:pt idx="18">
                  <c:v>46132</c:v>
                </c:pt>
                <c:pt idx="19">
                  <c:v>46133</c:v>
                </c:pt>
                <c:pt idx="20">
                  <c:v>46134</c:v>
                </c:pt>
              </c:numCache>
            </c:numRef>
          </c:cat>
          <c:val>
            <c:numRef>
              <c:f>'Sprint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A-4F95-B475-BD0333B2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3'!$I$15:$X$15</c:f>
              <c:numCache>
                <c:formatCode>dd/mm</c:formatCode>
                <c:ptCount val="16"/>
                <c:pt idx="0">
                  <c:v>46134</c:v>
                </c:pt>
                <c:pt idx="1">
                  <c:v>46135</c:v>
                </c:pt>
                <c:pt idx="2">
                  <c:v>46136</c:v>
                </c:pt>
                <c:pt idx="3">
                  <c:v>46137</c:v>
                </c:pt>
                <c:pt idx="4">
                  <c:v>46138</c:v>
                </c:pt>
                <c:pt idx="5">
                  <c:v>46139</c:v>
                </c:pt>
                <c:pt idx="6">
                  <c:v>46140</c:v>
                </c:pt>
                <c:pt idx="7">
                  <c:v>46141</c:v>
                </c:pt>
                <c:pt idx="8">
                  <c:v>46142</c:v>
                </c:pt>
                <c:pt idx="9">
                  <c:v>46143</c:v>
                </c:pt>
                <c:pt idx="10">
                  <c:v>46144</c:v>
                </c:pt>
                <c:pt idx="11">
                  <c:v>46145</c:v>
                </c:pt>
                <c:pt idx="12">
                  <c:v>46146</c:v>
                </c:pt>
                <c:pt idx="13">
                  <c:v>46147</c:v>
                </c:pt>
                <c:pt idx="14">
                  <c:v>46148</c:v>
                </c:pt>
                <c:pt idx="15">
                  <c:v>46149</c:v>
                </c:pt>
              </c:numCache>
            </c:numRef>
          </c:cat>
          <c:val>
            <c:numRef>
              <c:f>'Sprint 3'!$I$92:$AB$92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B-465B-8891-95096C5F9221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3'!$I$15:$X$15</c:f>
              <c:numCache>
                <c:formatCode>dd/mm</c:formatCode>
                <c:ptCount val="16"/>
                <c:pt idx="0">
                  <c:v>46134</c:v>
                </c:pt>
                <c:pt idx="1">
                  <c:v>46135</c:v>
                </c:pt>
                <c:pt idx="2">
                  <c:v>46136</c:v>
                </c:pt>
                <c:pt idx="3">
                  <c:v>46137</c:v>
                </c:pt>
                <c:pt idx="4">
                  <c:v>46138</c:v>
                </c:pt>
                <c:pt idx="5">
                  <c:v>46139</c:v>
                </c:pt>
                <c:pt idx="6">
                  <c:v>46140</c:v>
                </c:pt>
                <c:pt idx="7">
                  <c:v>46141</c:v>
                </c:pt>
                <c:pt idx="8">
                  <c:v>46142</c:v>
                </c:pt>
                <c:pt idx="9">
                  <c:v>46143</c:v>
                </c:pt>
                <c:pt idx="10">
                  <c:v>46144</c:v>
                </c:pt>
                <c:pt idx="11">
                  <c:v>46145</c:v>
                </c:pt>
                <c:pt idx="12">
                  <c:v>46146</c:v>
                </c:pt>
                <c:pt idx="13">
                  <c:v>46147</c:v>
                </c:pt>
                <c:pt idx="14">
                  <c:v>46148</c:v>
                </c:pt>
                <c:pt idx="15">
                  <c:v>46149</c:v>
                </c:pt>
              </c:numCache>
            </c:numRef>
          </c:cat>
          <c:val>
            <c:numRef>
              <c:f>'Sprint 3'!$I$93:$AB$93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B-465B-8891-95096C5F9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0544"/>
        <c:axId val="226297600"/>
      </c:lineChart>
      <c:dateAx>
        <c:axId val="22629054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7600"/>
        <c:crosses val="autoZero"/>
        <c:auto val="1"/>
        <c:lblOffset val="100"/>
        <c:baseTimeUnit val="days"/>
      </c:dateAx>
      <c:valAx>
        <c:axId val="22629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0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168303363972944E-2"/>
          <c:y val="0.101687175828912"/>
          <c:w val="0.83185197850550407"/>
          <c:h val="0.84181481921901491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46114</c:v>
                </c:pt>
                <c:pt idx="1">
                  <c:v>46115</c:v>
                </c:pt>
                <c:pt idx="2">
                  <c:v>46116</c:v>
                </c:pt>
                <c:pt idx="3">
                  <c:v>46117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46124</c:v>
                </c:pt>
                <c:pt idx="11">
                  <c:v>46125</c:v>
                </c:pt>
                <c:pt idx="12">
                  <c:v>46126</c:v>
                </c:pt>
                <c:pt idx="13">
                  <c:v>46127</c:v>
                </c:pt>
                <c:pt idx="14">
                  <c:v>46128</c:v>
                </c:pt>
                <c:pt idx="15">
                  <c:v>46129</c:v>
                </c:pt>
                <c:pt idx="16">
                  <c:v>46130</c:v>
                </c:pt>
                <c:pt idx="17">
                  <c:v>46131</c:v>
                </c:pt>
                <c:pt idx="18">
                  <c:v>46132</c:v>
                </c:pt>
                <c:pt idx="19">
                  <c:v>46133</c:v>
                </c:pt>
                <c:pt idx="20">
                  <c:v>46134</c:v>
                </c:pt>
              </c:numCache>
            </c:numRef>
          </c:cat>
          <c:val>
            <c:numRef>
              <c:f>'Sprint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A-443B-B2E4-92815CC236E6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46114</c:v>
                </c:pt>
                <c:pt idx="1">
                  <c:v>46115</c:v>
                </c:pt>
                <c:pt idx="2">
                  <c:v>46116</c:v>
                </c:pt>
                <c:pt idx="3">
                  <c:v>46117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46124</c:v>
                </c:pt>
                <c:pt idx="11">
                  <c:v>46125</c:v>
                </c:pt>
                <c:pt idx="12">
                  <c:v>46126</c:v>
                </c:pt>
                <c:pt idx="13">
                  <c:v>46127</c:v>
                </c:pt>
                <c:pt idx="14">
                  <c:v>46128</c:v>
                </c:pt>
                <c:pt idx="15">
                  <c:v>46129</c:v>
                </c:pt>
                <c:pt idx="16">
                  <c:v>46130</c:v>
                </c:pt>
                <c:pt idx="17">
                  <c:v>46131</c:v>
                </c:pt>
                <c:pt idx="18">
                  <c:v>46132</c:v>
                </c:pt>
                <c:pt idx="19">
                  <c:v>46133</c:v>
                </c:pt>
                <c:pt idx="20">
                  <c:v>46134</c:v>
                </c:pt>
              </c:numCache>
            </c:numRef>
          </c:cat>
          <c:val>
            <c:numRef>
              <c:f>'Sprint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A-443B-B2E4-92815CC23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368832</xdr:colOff>
      <xdr:row>114</xdr:row>
      <xdr:rowOff>69273</xdr:rowOff>
    </xdr:from>
    <xdr:to>
      <xdr:col>12</xdr:col>
      <xdr:colOff>245568</xdr:colOff>
      <xdr:row>123</xdr:row>
      <xdr:rowOff>113355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1266264</xdr:colOff>
      <xdr:row>93</xdr:row>
      <xdr:rowOff>168088</xdr:rowOff>
    </xdr:from>
    <xdr:to>
      <xdr:col>13</xdr:col>
      <xdr:colOff>123263</xdr:colOff>
      <xdr:row>114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368832</xdr:colOff>
      <xdr:row>98</xdr:row>
      <xdr:rowOff>69273</xdr:rowOff>
    </xdr:from>
    <xdr:to>
      <xdr:col>12</xdr:col>
      <xdr:colOff>245568</xdr:colOff>
      <xdr:row>107</xdr:row>
      <xdr:rowOff>113355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ACE622-6081-45C5-B426-DB34573AF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6"/>
  <sheetViews>
    <sheetView zoomScale="79" zoomScaleNormal="115" workbookViewId="0">
      <selection activeCell="D8" sqref="D8"/>
    </sheetView>
  </sheetViews>
  <sheetFormatPr defaultColWidth="9.109375" defaultRowHeight="16.8" x14ac:dyDescent="0.3"/>
  <cols>
    <col min="1" max="1" width="16" style="1" customWidth="1"/>
    <col min="2" max="2" width="35.44140625" style="1" customWidth="1"/>
    <col min="3" max="3" width="55.44140625" style="1" customWidth="1"/>
    <col min="4" max="5" width="11" style="1" customWidth="1"/>
    <col min="6" max="6" width="22.77734375" style="1" customWidth="1"/>
    <col min="7" max="8" width="6.109375" style="1" customWidth="1"/>
    <col min="9" max="9" width="6" style="1" customWidth="1"/>
    <col min="10" max="13" width="6.109375" style="1" customWidth="1"/>
    <col min="14" max="14" width="6" style="1" customWidth="1"/>
    <col min="15" max="15" width="6.109375" style="1" customWidth="1"/>
    <col min="16" max="20" width="6" style="1" customWidth="1"/>
    <col min="21" max="23" width="6.109375" style="1" customWidth="1"/>
    <col min="24" max="24" width="6" style="1" customWidth="1"/>
    <col min="25" max="25" width="6.109375" style="1" customWidth="1"/>
    <col min="26" max="26" width="6" style="1" customWidth="1"/>
    <col min="27" max="27" width="5.88671875" style="1" customWidth="1"/>
    <col min="28" max="28" width="6.109375" style="1" customWidth="1"/>
    <col min="29" max="31" width="6" style="1" customWidth="1"/>
    <col min="32" max="16384" width="9.109375" style="1"/>
  </cols>
  <sheetData>
    <row r="1" spans="1:21" ht="33.6" x14ac:dyDescent="0.3">
      <c r="A1" s="64" t="s">
        <v>3</v>
      </c>
      <c r="B1" s="65"/>
      <c r="C1" s="55" t="s">
        <v>59</v>
      </c>
      <c r="D1" s="54"/>
      <c r="E1" s="10"/>
      <c r="F1" s="56" t="s">
        <v>51</v>
      </c>
    </row>
    <row r="2" spans="1:21" x14ac:dyDescent="0.3">
      <c r="A2" s="64" t="s">
        <v>2</v>
      </c>
      <c r="B2" s="65"/>
      <c r="C2" s="9" t="s">
        <v>4</v>
      </c>
      <c r="D2" s="54"/>
      <c r="E2" s="12"/>
      <c r="F2" s="57" t="s">
        <v>50</v>
      </c>
    </row>
    <row r="3" spans="1:21" x14ac:dyDescent="0.3">
      <c r="A3" s="64" t="s">
        <v>1</v>
      </c>
      <c r="B3" s="65"/>
      <c r="C3" s="58" t="s">
        <v>60</v>
      </c>
      <c r="D3" s="54"/>
      <c r="E3" s="11"/>
      <c r="F3" s="59" t="s">
        <v>49</v>
      </c>
    </row>
    <row r="4" spans="1:21" ht="17.25" customHeight="1" x14ac:dyDescent="0.3">
      <c r="A4" s="64" t="s">
        <v>0</v>
      </c>
      <c r="B4" s="65"/>
      <c r="C4" s="58">
        <v>46057</v>
      </c>
      <c r="D4" s="54"/>
      <c r="E4" s="54"/>
      <c r="F4" s="54"/>
    </row>
    <row r="5" spans="1:21" ht="16.5" customHeight="1" thickBot="1" x14ac:dyDescent="0.35"/>
    <row r="6" spans="1:21" ht="17.399999999999999" thickBot="1" x14ac:dyDescent="0.35">
      <c r="B6" s="33" t="s">
        <v>5</v>
      </c>
      <c r="C6" s="33"/>
      <c r="D6" s="33"/>
      <c r="E6" s="33"/>
    </row>
    <row r="7" spans="1:21" ht="17.399999999999999" thickBot="1" x14ac:dyDescent="0.35">
      <c r="B7" s="4" t="s">
        <v>6</v>
      </c>
      <c r="C7" s="4" t="s">
        <v>46</v>
      </c>
      <c r="D7" s="4" t="s">
        <v>11</v>
      </c>
      <c r="E7" s="4" t="s">
        <v>45</v>
      </c>
    </row>
    <row r="8" spans="1:21" ht="17.399999999999999" thickBot="1" x14ac:dyDescent="0.35">
      <c r="B8" s="5">
        <v>1</v>
      </c>
      <c r="C8" s="2" t="s">
        <v>136</v>
      </c>
      <c r="D8" s="2">
        <f ca="1">SUMIF($E$16:$F$113,"Thành",$G$16:$G$113)
+SUMIF($E$16:$F$113,"All team",$G$16:$G$113)/5
+SUMIF($E$16:$F$113,"Thành, Phương, Việt, Tấn",$G$16:$G$113)/4</f>
        <v>34.25</v>
      </c>
      <c r="E8" s="2">
        <f ca="1">SUMIF($E$16:$F$113,"Thành",$H$16:$H$113)
+SUMIF($E$16:$F$113,"All team",$H$16:$H$113)/5
+SUMIF($E$16:$F$113,"Thành, Phương, Việt, Tấn",$H$16:$H$113)/4</f>
        <v>39.25</v>
      </c>
    </row>
    <row r="9" spans="1:21" ht="17.399999999999999" thickBot="1" x14ac:dyDescent="0.35">
      <c r="B9" s="5">
        <v>2</v>
      </c>
      <c r="C9" s="2" t="s">
        <v>61</v>
      </c>
      <c r="D9" s="2">
        <f ca="1">SUMIF($E$16:$F$113,"Nữ",$G$16:$G$113)
+SUMIF($E$16:$F$113,"All team",$G$16:$G$113)/5</f>
        <v>54</v>
      </c>
      <c r="E9" s="2">
        <f ca="1">SUMIF($E$16:$F$113,"Nữ",$H$16:$H$113)
+SUMIF($E$16:$F$113,"All team",$H$16:$H$113)/5</f>
        <v>52</v>
      </c>
    </row>
    <row r="10" spans="1:21" ht="17.399999999999999" thickBot="1" x14ac:dyDescent="0.35">
      <c r="B10" s="5">
        <v>3</v>
      </c>
      <c r="C10" s="2" t="s">
        <v>62</v>
      </c>
      <c r="D10" s="2">
        <f ca="1">SUMIF($E$16:$F$113,"Phương",$G$16:$G$113)
+SUMIF($E$16:$F$113,"All team",$G$16:$G$113)/5
+SUMIF($E$16:$F$113,"Thành, Phương, Việt, Tấn",$G$16:$G$113)/4</f>
        <v>29.25</v>
      </c>
      <c r="E10" s="2">
        <f ca="1">SUMIF($E$16:$F$113,"Phương",$H$16:$H$113)
+SUMIF($E$16:$F$113,"All team",$H$16:$H$113)/5
+SUMIF($E$16:$F$113,"Thành, Phương, Việt, Tấn",$H$16:$H$113)/4</f>
        <v>25.25</v>
      </c>
    </row>
    <row r="11" spans="1:21" ht="17.399999999999999" thickBot="1" x14ac:dyDescent="0.35">
      <c r="B11" s="5">
        <v>4</v>
      </c>
      <c r="C11" s="2" t="s">
        <v>63</v>
      </c>
      <c r="D11" s="2">
        <f ca="1">SUMIF($E$16:$F$113,"Tấn",$G$16:$G$113)
+SUMIF($E$16:$F$113,"All team",$G$16:$G$113)/5
+SUMIF($E$16:$F$113,"Thành, Phương, Việt, Tấn",$G$16:$G$113)/4</f>
        <v>19.25</v>
      </c>
      <c r="E11" s="2">
        <f ca="1">SUMIF($E$16:$F$113,"Tấn",$H$16:$H$113)
+SUMIF($E$16:$F$113,"All team",$H$16:$H$113)/5
+SUMIF($E$16:$F$113,"Thành, Phương, Việt, Tấn",$H$16:$H$113)/4</f>
        <v>19.25</v>
      </c>
    </row>
    <row r="12" spans="1:21" ht="17.399999999999999" thickBot="1" x14ac:dyDescent="0.35">
      <c r="B12" s="5">
        <v>5</v>
      </c>
      <c r="C12" s="2" t="s">
        <v>64</v>
      </c>
      <c r="D12" s="2">
        <f ca="1">SUMIF($E$16:$F$113,"Việt",$G$16:$G$113)
+SUMIF($E$16:$F$113,"All team",$G$16:$G$113)/5
+SUMIF($E$16:$F$113,"Thành, Phương, Việt, Tấn",$G$16:$G$113)/4</f>
        <v>39.25</v>
      </c>
      <c r="E12" s="2">
        <f ca="1">SUMIF($E$16:$F$113,"Việt",$H$16:$H$113)
+SUMIF($E$16:$F$113,"All team",$H$16:$H$113)/5
+SUMIF($E$16:$F$113,"Thành, Phương, Việt, Tấn",$H$16:$H$113)/4</f>
        <v>37.25</v>
      </c>
    </row>
    <row r="13" spans="1:21" ht="17.399999999999999" thickBot="1" x14ac:dyDescent="0.35">
      <c r="B13" s="33" t="s">
        <v>12</v>
      </c>
      <c r="C13" s="33"/>
      <c r="D13" s="3">
        <f ca="1">SUM(D8:D12)</f>
        <v>176</v>
      </c>
      <c r="E13" s="3">
        <f ca="1">SUM(E8:E12)</f>
        <v>173</v>
      </c>
    </row>
    <row r="15" spans="1:21" ht="62.25" customHeight="1" x14ac:dyDescent="0.3">
      <c r="A15" s="6" t="s">
        <v>7</v>
      </c>
      <c r="B15" s="6" t="s">
        <v>8</v>
      </c>
      <c r="C15" s="34" t="s">
        <v>9</v>
      </c>
      <c r="D15" s="34"/>
      <c r="E15" s="34" t="s">
        <v>10</v>
      </c>
      <c r="F15" s="34"/>
      <c r="G15" s="7" t="s">
        <v>11</v>
      </c>
      <c r="H15" s="7" t="s">
        <v>45</v>
      </c>
      <c r="I15" s="8" t="s">
        <v>126</v>
      </c>
      <c r="J15" s="8" t="s">
        <v>127</v>
      </c>
      <c r="K15" s="8" t="s">
        <v>128</v>
      </c>
      <c r="L15" s="8" t="s">
        <v>129</v>
      </c>
      <c r="M15" s="8" t="s">
        <v>130</v>
      </c>
      <c r="N15" s="8" t="s">
        <v>131</v>
      </c>
      <c r="O15" s="8" t="s">
        <v>132</v>
      </c>
      <c r="P15" s="8" t="s">
        <v>133</v>
      </c>
      <c r="Q15" s="8" t="s">
        <v>134</v>
      </c>
      <c r="R15" s="8" t="s">
        <v>135</v>
      </c>
      <c r="S15" s="8">
        <v>46113</v>
      </c>
      <c r="T15" s="8">
        <v>46114</v>
      </c>
      <c r="U15" s="8">
        <v>46115</v>
      </c>
    </row>
    <row r="16" spans="1:21" x14ac:dyDescent="0.3">
      <c r="A16" s="35" t="s">
        <v>4</v>
      </c>
      <c r="B16" s="29" t="s">
        <v>13</v>
      </c>
      <c r="C16" s="42"/>
      <c r="D16" s="30"/>
      <c r="E16" s="31" t="s">
        <v>44</v>
      </c>
      <c r="F16" s="32"/>
      <c r="G16" s="9">
        <v>10</v>
      </c>
      <c r="H16" s="9">
        <v>10</v>
      </c>
      <c r="I16" s="9">
        <v>10</v>
      </c>
      <c r="J16" s="10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</row>
    <row r="17" spans="1:21" x14ac:dyDescent="0.3">
      <c r="A17" s="36"/>
      <c r="B17" s="29" t="s">
        <v>14</v>
      </c>
      <c r="C17" s="42"/>
      <c r="D17" s="30"/>
      <c r="E17" s="31" t="s">
        <v>65</v>
      </c>
      <c r="F17" s="32"/>
      <c r="G17" s="9">
        <v>4</v>
      </c>
      <c r="H17" s="9">
        <v>4</v>
      </c>
      <c r="I17" s="9">
        <v>4</v>
      </c>
      <c r="J17" s="10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</row>
    <row r="18" spans="1:21" x14ac:dyDescent="0.3">
      <c r="A18" s="36"/>
      <c r="B18" s="29" t="s">
        <v>15</v>
      </c>
      <c r="C18" s="42"/>
      <c r="D18" s="30"/>
      <c r="E18" s="31" t="s">
        <v>66</v>
      </c>
      <c r="F18" s="32"/>
      <c r="G18" s="9">
        <v>4</v>
      </c>
      <c r="H18" s="9">
        <v>4</v>
      </c>
      <c r="I18" s="9">
        <v>4</v>
      </c>
      <c r="J18" s="10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</row>
    <row r="19" spans="1:21" x14ac:dyDescent="0.3">
      <c r="A19" s="36"/>
      <c r="B19" s="35" t="s">
        <v>17</v>
      </c>
      <c r="C19" s="29" t="s">
        <v>67</v>
      </c>
      <c r="D19" s="30"/>
      <c r="E19" s="31" t="s">
        <v>66</v>
      </c>
      <c r="F19" s="32"/>
      <c r="G19" s="9">
        <v>1</v>
      </c>
      <c r="H19" s="9">
        <v>1</v>
      </c>
      <c r="I19" s="9">
        <v>1</v>
      </c>
      <c r="J19" s="10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</row>
    <row r="20" spans="1:21" x14ac:dyDescent="0.3">
      <c r="A20" s="36"/>
      <c r="B20" s="36"/>
      <c r="C20" s="29" t="s">
        <v>16</v>
      </c>
      <c r="D20" s="30"/>
      <c r="E20" s="31" t="s">
        <v>66</v>
      </c>
      <c r="F20" s="32"/>
      <c r="G20" s="9">
        <v>1</v>
      </c>
      <c r="H20" s="9">
        <v>1</v>
      </c>
      <c r="I20" s="9">
        <v>1</v>
      </c>
      <c r="J20" s="10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</row>
    <row r="21" spans="1:21" x14ac:dyDescent="0.3">
      <c r="A21" s="36"/>
      <c r="B21" s="36"/>
      <c r="C21" s="29" t="s">
        <v>52</v>
      </c>
      <c r="D21" s="30"/>
      <c r="E21" s="31" t="s">
        <v>66</v>
      </c>
      <c r="F21" s="32"/>
      <c r="G21" s="9">
        <v>1</v>
      </c>
      <c r="H21" s="9">
        <v>1</v>
      </c>
      <c r="I21" s="9">
        <v>1</v>
      </c>
      <c r="J21" s="10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</row>
    <row r="22" spans="1:21" x14ac:dyDescent="0.3">
      <c r="A22" s="36"/>
      <c r="B22" s="36"/>
      <c r="C22" s="29" t="s">
        <v>68</v>
      </c>
      <c r="D22" s="30"/>
      <c r="E22" s="31" t="s">
        <v>66</v>
      </c>
      <c r="F22" s="32"/>
      <c r="G22" s="9">
        <v>1</v>
      </c>
      <c r="H22" s="9">
        <v>1</v>
      </c>
      <c r="I22" s="9">
        <v>1</v>
      </c>
      <c r="J22" s="10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</row>
    <row r="23" spans="1:21" x14ac:dyDescent="0.3">
      <c r="A23" s="36"/>
      <c r="B23" s="36"/>
      <c r="C23" s="29" t="s">
        <v>69</v>
      </c>
      <c r="D23" s="30"/>
      <c r="E23" s="31" t="s">
        <v>66</v>
      </c>
      <c r="F23" s="32"/>
      <c r="G23" s="9">
        <v>1</v>
      </c>
      <c r="H23" s="9">
        <v>1</v>
      </c>
      <c r="I23" s="9">
        <v>1</v>
      </c>
      <c r="J23" s="9">
        <v>1</v>
      </c>
      <c r="K23" s="10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</row>
    <row r="24" spans="1:21" x14ac:dyDescent="0.3">
      <c r="A24" s="36"/>
      <c r="B24" s="36"/>
      <c r="C24" s="29" t="s">
        <v>70</v>
      </c>
      <c r="D24" s="30"/>
      <c r="E24" s="31" t="s">
        <v>66</v>
      </c>
      <c r="F24" s="32"/>
      <c r="G24" s="9">
        <v>1</v>
      </c>
      <c r="H24" s="9">
        <v>1</v>
      </c>
      <c r="I24" s="9">
        <v>1</v>
      </c>
      <c r="J24" s="9">
        <v>1</v>
      </c>
      <c r="K24" s="10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</row>
    <row r="25" spans="1:21" x14ac:dyDescent="0.3">
      <c r="A25" s="36"/>
      <c r="B25" s="36"/>
      <c r="C25" s="29" t="s">
        <v>71</v>
      </c>
      <c r="D25" s="30"/>
      <c r="E25" s="31" t="s">
        <v>66</v>
      </c>
      <c r="F25" s="32"/>
      <c r="G25" s="9">
        <v>1</v>
      </c>
      <c r="H25" s="9">
        <v>1</v>
      </c>
      <c r="I25" s="9">
        <v>1</v>
      </c>
      <c r="J25" s="9">
        <v>1</v>
      </c>
      <c r="K25" s="10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</row>
    <row r="26" spans="1:21" x14ac:dyDescent="0.3">
      <c r="A26" s="36"/>
      <c r="B26" s="36"/>
      <c r="C26" s="29" t="s">
        <v>72</v>
      </c>
      <c r="D26" s="30"/>
      <c r="E26" s="31" t="s">
        <v>66</v>
      </c>
      <c r="F26" s="32"/>
      <c r="G26" s="9">
        <v>1</v>
      </c>
      <c r="H26" s="9">
        <v>1</v>
      </c>
      <c r="I26" s="9">
        <v>1</v>
      </c>
      <c r="J26" s="9">
        <v>1</v>
      </c>
      <c r="K26" s="10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</row>
    <row r="27" spans="1:21" x14ac:dyDescent="0.3">
      <c r="A27" s="36"/>
      <c r="B27" s="36"/>
      <c r="C27" s="29" t="s">
        <v>73</v>
      </c>
      <c r="D27" s="30"/>
      <c r="E27" s="31" t="s">
        <v>66</v>
      </c>
      <c r="F27" s="32"/>
      <c r="G27" s="9">
        <v>1</v>
      </c>
      <c r="H27" s="9">
        <v>1</v>
      </c>
      <c r="I27" s="9">
        <v>1</v>
      </c>
      <c r="J27" s="9">
        <v>1</v>
      </c>
      <c r="K27" s="10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</row>
    <row r="28" spans="1:21" x14ac:dyDescent="0.3">
      <c r="A28" s="36"/>
      <c r="B28" s="36"/>
      <c r="C28" s="29" t="s">
        <v>74</v>
      </c>
      <c r="D28" s="30"/>
      <c r="E28" s="31" t="s">
        <v>66</v>
      </c>
      <c r="F28" s="32"/>
      <c r="G28" s="9">
        <v>1</v>
      </c>
      <c r="H28" s="9">
        <v>1</v>
      </c>
      <c r="I28" s="9">
        <v>1</v>
      </c>
      <c r="J28" s="9">
        <v>1</v>
      </c>
      <c r="K28" s="10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</row>
    <row r="29" spans="1:21" x14ac:dyDescent="0.3">
      <c r="A29" s="36"/>
      <c r="B29" s="36"/>
      <c r="C29" s="29" t="s">
        <v>75</v>
      </c>
      <c r="D29" s="30"/>
      <c r="E29" s="31" t="s">
        <v>66</v>
      </c>
      <c r="F29" s="32"/>
      <c r="G29" s="9">
        <v>1</v>
      </c>
      <c r="H29" s="9">
        <v>1</v>
      </c>
      <c r="I29" s="9">
        <v>1</v>
      </c>
      <c r="J29" s="9">
        <v>1</v>
      </c>
      <c r="K29" s="10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</row>
    <row r="30" spans="1:21" x14ac:dyDescent="0.3">
      <c r="A30" s="36"/>
      <c r="B30" s="36"/>
      <c r="C30" s="29" t="s">
        <v>20</v>
      </c>
      <c r="D30" s="30"/>
      <c r="E30" s="31" t="s">
        <v>44</v>
      </c>
      <c r="F30" s="32"/>
      <c r="G30" s="9">
        <v>5</v>
      </c>
      <c r="H30" s="9">
        <v>5</v>
      </c>
      <c r="I30" s="9">
        <v>5</v>
      </c>
      <c r="J30" s="9">
        <v>5</v>
      </c>
      <c r="K30" s="9">
        <v>5</v>
      </c>
      <c r="L30" s="10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</row>
    <row r="31" spans="1:21" x14ac:dyDescent="0.3">
      <c r="A31" s="36"/>
      <c r="B31" s="35" t="s">
        <v>21</v>
      </c>
      <c r="C31" s="29" t="s">
        <v>76</v>
      </c>
      <c r="D31" s="30"/>
      <c r="E31" s="31" t="s">
        <v>54</v>
      </c>
      <c r="F31" s="32"/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10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</row>
    <row r="32" spans="1:21" x14ac:dyDescent="0.3">
      <c r="A32" s="36"/>
      <c r="B32" s="36"/>
      <c r="C32" s="29" t="s">
        <v>18</v>
      </c>
      <c r="D32" s="30"/>
      <c r="E32" s="31" t="s">
        <v>54</v>
      </c>
      <c r="F32" s="32"/>
      <c r="G32" s="9">
        <v>1</v>
      </c>
      <c r="H32" s="9">
        <v>1</v>
      </c>
      <c r="I32" s="9">
        <v>1</v>
      </c>
      <c r="J32" s="9">
        <v>1</v>
      </c>
      <c r="K32" s="9">
        <v>1</v>
      </c>
      <c r="L32" s="10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</row>
    <row r="33" spans="1:21" x14ac:dyDescent="0.3">
      <c r="A33" s="36"/>
      <c r="B33" s="36"/>
      <c r="C33" s="29" t="s">
        <v>53</v>
      </c>
      <c r="D33" s="30"/>
      <c r="E33" s="31" t="s">
        <v>54</v>
      </c>
      <c r="F33" s="32"/>
      <c r="G33" s="9">
        <v>1</v>
      </c>
      <c r="H33" s="9">
        <v>1</v>
      </c>
      <c r="I33" s="9">
        <v>1</v>
      </c>
      <c r="J33" s="9">
        <v>1</v>
      </c>
      <c r="K33" s="9">
        <v>1</v>
      </c>
      <c r="L33" s="10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</row>
    <row r="34" spans="1:21" x14ac:dyDescent="0.3">
      <c r="A34" s="36"/>
      <c r="B34" s="36"/>
      <c r="C34" s="29" t="s">
        <v>77</v>
      </c>
      <c r="D34" s="30"/>
      <c r="E34" s="31" t="s">
        <v>85</v>
      </c>
      <c r="F34" s="32"/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10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</row>
    <row r="35" spans="1:21" x14ac:dyDescent="0.3">
      <c r="A35" s="36"/>
      <c r="B35" s="36"/>
      <c r="C35" s="29" t="s">
        <v>78</v>
      </c>
      <c r="D35" s="30"/>
      <c r="E35" s="31" t="s">
        <v>56</v>
      </c>
      <c r="F35" s="32"/>
      <c r="G35" s="9">
        <v>1</v>
      </c>
      <c r="H35" s="9">
        <v>1</v>
      </c>
      <c r="I35" s="9">
        <v>1</v>
      </c>
      <c r="J35" s="9">
        <v>1</v>
      </c>
      <c r="K35" s="9">
        <v>1</v>
      </c>
      <c r="L35" s="10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</row>
    <row r="36" spans="1:21" x14ac:dyDescent="0.3">
      <c r="A36" s="36"/>
      <c r="B36" s="36"/>
      <c r="C36" s="29" t="s">
        <v>79</v>
      </c>
      <c r="D36" s="30"/>
      <c r="E36" s="31" t="s">
        <v>85</v>
      </c>
      <c r="F36" s="32"/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10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</row>
    <row r="37" spans="1:21" ht="18.600000000000001" customHeight="1" x14ac:dyDescent="0.3">
      <c r="A37" s="36"/>
      <c r="B37" s="36"/>
      <c r="C37" s="29" t="s">
        <v>80</v>
      </c>
      <c r="D37" s="30"/>
      <c r="E37" s="31" t="s">
        <v>86</v>
      </c>
      <c r="F37" s="32"/>
      <c r="G37" s="9">
        <v>1</v>
      </c>
      <c r="H37" s="9">
        <v>1</v>
      </c>
      <c r="I37" s="9">
        <v>1</v>
      </c>
      <c r="J37" s="9">
        <v>1</v>
      </c>
      <c r="K37" s="9">
        <v>1</v>
      </c>
      <c r="L37" s="10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</row>
    <row r="38" spans="1:21" x14ac:dyDescent="0.3">
      <c r="A38" s="36"/>
      <c r="B38" s="36"/>
      <c r="C38" s="29" t="s">
        <v>81</v>
      </c>
      <c r="D38" s="30"/>
      <c r="E38" s="31" t="s">
        <v>86</v>
      </c>
      <c r="F38" s="32"/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10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</row>
    <row r="39" spans="1:21" x14ac:dyDescent="0.3">
      <c r="A39" s="36"/>
      <c r="B39" s="36"/>
      <c r="C39" s="29" t="s">
        <v>82</v>
      </c>
      <c r="D39" s="30"/>
      <c r="E39" s="31" t="s">
        <v>56</v>
      </c>
      <c r="F39" s="32"/>
      <c r="G39" s="9">
        <v>1</v>
      </c>
      <c r="H39" s="9">
        <v>1</v>
      </c>
      <c r="I39" s="9">
        <v>1</v>
      </c>
      <c r="J39" s="9">
        <v>1</v>
      </c>
      <c r="K39" s="9">
        <v>1</v>
      </c>
      <c r="L39" s="9">
        <v>1</v>
      </c>
      <c r="M39" s="10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</row>
    <row r="40" spans="1:21" x14ac:dyDescent="0.3">
      <c r="A40" s="36"/>
      <c r="B40" s="36"/>
      <c r="C40" s="29" t="s">
        <v>83</v>
      </c>
      <c r="D40" s="30"/>
      <c r="E40" s="31" t="s">
        <v>86</v>
      </c>
      <c r="F40" s="32"/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9">
        <v>1</v>
      </c>
      <c r="M40" s="10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</row>
    <row r="41" spans="1:21" x14ac:dyDescent="0.3">
      <c r="A41" s="36"/>
      <c r="B41" s="36"/>
      <c r="C41" s="29" t="s">
        <v>84</v>
      </c>
      <c r="D41" s="30"/>
      <c r="E41" s="31" t="s">
        <v>56</v>
      </c>
      <c r="F41" s="32"/>
      <c r="G41" s="9">
        <v>1</v>
      </c>
      <c r="H41" s="9">
        <v>1</v>
      </c>
      <c r="I41" s="9">
        <v>1</v>
      </c>
      <c r="J41" s="9">
        <v>1</v>
      </c>
      <c r="K41" s="9">
        <v>1</v>
      </c>
      <c r="L41" s="9">
        <v>1</v>
      </c>
      <c r="M41" s="10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</row>
    <row r="42" spans="1:21" x14ac:dyDescent="0.3">
      <c r="A42" s="36"/>
      <c r="B42" s="36"/>
      <c r="C42" s="29" t="s">
        <v>19</v>
      </c>
      <c r="D42" s="30"/>
      <c r="E42" s="31" t="s">
        <v>44</v>
      </c>
      <c r="F42" s="32"/>
      <c r="G42" s="9">
        <v>5</v>
      </c>
      <c r="H42" s="9">
        <v>5</v>
      </c>
      <c r="I42" s="9">
        <v>5</v>
      </c>
      <c r="J42" s="9">
        <v>5</v>
      </c>
      <c r="K42" s="9">
        <v>5</v>
      </c>
      <c r="L42" s="9">
        <v>5</v>
      </c>
      <c r="M42" s="9">
        <v>5</v>
      </c>
      <c r="N42" s="10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</row>
    <row r="43" spans="1:21" x14ac:dyDescent="0.3">
      <c r="A43" s="36"/>
      <c r="B43" s="35" t="s">
        <v>24</v>
      </c>
      <c r="C43" s="29" t="s">
        <v>87</v>
      </c>
      <c r="D43" s="30"/>
      <c r="E43" s="31" t="s">
        <v>54</v>
      </c>
      <c r="F43" s="32"/>
      <c r="G43" s="9">
        <v>2</v>
      </c>
      <c r="H43" s="9">
        <v>2</v>
      </c>
      <c r="I43" s="9">
        <v>2</v>
      </c>
      <c r="J43" s="9">
        <v>2</v>
      </c>
      <c r="K43" s="9">
        <v>2</v>
      </c>
      <c r="L43" s="9">
        <v>2</v>
      </c>
      <c r="M43" s="9">
        <v>2</v>
      </c>
      <c r="N43" s="9">
        <v>2</v>
      </c>
      <c r="O43" s="10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</row>
    <row r="44" spans="1:21" x14ac:dyDescent="0.3">
      <c r="A44" s="36"/>
      <c r="B44" s="36"/>
      <c r="C44" s="29" t="s">
        <v>96</v>
      </c>
      <c r="D44" s="30"/>
      <c r="E44" s="31" t="s">
        <v>54</v>
      </c>
      <c r="F44" s="32"/>
      <c r="G44" s="9">
        <v>2</v>
      </c>
      <c r="H44" s="9">
        <v>2</v>
      </c>
      <c r="I44" s="9">
        <v>2</v>
      </c>
      <c r="J44" s="9">
        <v>2</v>
      </c>
      <c r="K44" s="9">
        <v>2</v>
      </c>
      <c r="L44" s="9">
        <v>2</v>
      </c>
      <c r="M44" s="9">
        <v>2</v>
      </c>
      <c r="N44" s="9">
        <v>2</v>
      </c>
      <c r="O44" s="10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</row>
    <row r="45" spans="1:21" x14ac:dyDescent="0.3">
      <c r="A45" s="36"/>
      <c r="B45" s="36"/>
      <c r="C45" s="29" t="s">
        <v>22</v>
      </c>
      <c r="D45" s="30"/>
      <c r="E45" s="31" t="s">
        <v>54</v>
      </c>
      <c r="F45" s="32"/>
      <c r="G45" s="9">
        <v>2</v>
      </c>
      <c r="H45" s="9">
        <v>2</v>
      </c>
      <c r="I45" s="9">
        <v>2</v>
      </c>
      <c r="J45" s="9">
        <v>2</v>
      </c>
      <c r="K45" s="9">
        <v>2</v>
      </c>
      <c r="L45" s="9">
        <v>2</v>
      </c>
      <c r="M45" s="9">
        <v>2</v>
      </c>
      <c r="N45" s="9">
        <v>2</v>
      </c>
      <c r="O45" s="10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</row>
    <row r="46" spans="1:21" x14ac:dyDescent="0.3">
      <c r="A46" s="36"/>
      <c r="B46" s="36"/>
      <c r="C46" s="29" t="s">
        <v>97</v>
      </c>
      <c r="D46" s="30"/>
      <c r="E46" s="31" t="s">
        <v>54</v>
      </c>
      <c r="F46" s="32"/>
      <c r="G46" s="9">
        <v>4</v>
      </c>
      <c r="H46" s="9">
        <v>2</v>
      </c>
      <c r="I46" s="9">
        <v>2</v>
      </c>
      <c r="J46" s="9">
        <v>2</v>
      </c>
      <c r="K46" s="9">
        <v>2</v>
      </c>
      <c r="L46" s="9">
        <v>2</v>
      </c>
      <c r="M46" s="9">
        <v>2</v>
      </c>
      <c r="N46" s="9">
        <v>2</v>
      </c>
      <c r="O46" s="10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</row>
    <row r="47" spans="1:21" x14ac:dyDescent="0.3">
      <c r="A47" s="36"/>
      <c r="B47" s="36"/>
      <c r="C47" s="29"/>
      <c r="D47" s="30"/>
      <c r="E47" s="31"/>
      <c r="F47" s="32"/>
      <c r="G47" s="9"/>
      <c r="H47" s="9"/>
      <c r="I47" s="9"/>
      <c r="J47" s="9"/>
      <c r="K47" s="9"/>
      <c r="L47" s="9"/>
      <c r="M47" s="9"/>
      <c r="N47" s="9"/>
      <c r="O47" s="12">
        <v>2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</row>
    <row r="48" spans="1:21" x14ac:dyDescent="0.3">
      <c r="A48" s="36"/>
      <c r="B48" s="36"/>
      <c r="C48" s="29" t="s">
        <v>55</v>
      </c>
      <c r="D48" s="30"/>
      <c r="E48" s="31" t="s">
        <v>54</v>
      </c>
      <c r="F48" s="32"/>
      <c r="G48" s="9">
        <v>3</v>
      </c>
      <c r="H48" s="9">
        <v>2</v>
      </c>
      <c r="I48" s="9">
        <v>2</v>
      </c>
      <c r="J48" s="9">
        <v>2</v>
      </c>
      <c r="K48" s="9">
        <v>2</v>
      </c>
      <c r="L48" s="9">
        <v>2</v>
      </c>
      <c r="M48" s="9">
        <v>2</v>
      </c>
      <c r="N48" s="9">
        <v>2</v>
      </c>
      <c r="O48" s="10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</row>
    <row r="49" spans="1:21" x14ac:dyDescent="0.3">
      <c r="A49" s="36"/>
      <c r="B49" s="36"/>
      <c r="C49" s="29"/>
      <c r="D49" s="30"/>
      <c r="E49" s="31"/>
      <c r="F49" s="32"/>
      <c r="G49" s="9"/>
      <c r="H49" s="9"/>
      <c r="I49" s="9"/>
      <c r="J49" s="9"/>
      <c r="K49" s="9"/>
      <c r="L49" s="9"/>
      <c r="M49" s="9"/>
      <c r="N49" s="9"/>
      <c r="O49" s="12">
        <v>1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</row>
    <row r="50" spans="1:21" x14ac:dyDescent="0.3">
      <c r="A50" s="36"/>
      <c r="B50" s="36"/>
      <c r="C50" s="29" t="s">
        <v>98</v>
      </c>
      <c r="D50" s="30"/>
      <c r="E50" s="31" t="s">
        <v>54</v>
      </c>
      <c r="F50" s="32"/>
      <c r="G50" s="9">
        <v>3</v>
      </c>
      <c r="H50" s="9">
        <v>2</v>
      </c>
      <c r="I50" s="9">
        <v>2</v>
      </c>
      <c r="J50" s="9">
        <v>2</v>
      </c>
      <c r="K50" s="9">
        <v>2</v>
      </c>
      <c r="L50" s="9">
        <v>2</v>
      </c>
      <c r="M50" s="9">
        <v>2</v>
      </c>
      <c r="N50" s="9">
        <v>2</v>
      </c>
      <c r="O50" s="9">
        <v>2</v>
      </c>
      <c r="P50" s="10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</row>
    <row r="51" spans="1:21" x14ac:dyDescent="0.3">
      <c r="A51" s="36"/>
      <c r="B51" s="36"/>
      <c r="C51" s="29"/>
      <c r="D51" s="30"/>
      <c r="E51" s="31"/>
      <c r="F51" s="32"/>
      <c r="G51" s="9"/>
      <c r="H51" s="9"/>
      <c r="I51" s="9"/>
      <c r="J51" s="9"/>
      <c r="K51" s="9"/>
      <c r="L51" s="9"/>
      <c r="M51" s="9"/>
      <c r="N51" s="9"/>
      <c r="P51" s="12">
        <v>1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</row>
    <row r="52" spans="1:21" x14ac:dyDescent="0.3">
      <c r="A52" s="36"/>
      <c r="B52" s="36"/>
      <c r="C52" s="29" t="s">
        <v>88</v>
      </c>
      <c r="D52" s="30"/>
      <c r="E52" s="31" t="s">
        <v>85</v>
      </c>
      <c r="F52" s="32"/>
      <c r="G52" s="9">
        <v>2</v>
      </c>
      <c r="H52" s="9">
        <v>2</v>
      </c>
      <c r="I52" s="9">
        <v>2</v>
      </c>
      <c r="J52" s="9">
        <v>2</v>
      </c>
      <c r="K52" s="9">
        <v>2</v>
      </c>
      <c r="L52" s="9">
        <v>2</v>
      </c>
      <c r="M52" s="9">
        <v>2</v>
      </c>
      <c r="N52" s="9">
        <v>2</v>
      </c>
      <c r="O52" s="9">
        <v>2</v>
      </c>
      <c r="P52" s="10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</row>
    <row r="53" spans="1:21" x14ac:dyDescent="0.3">
      <c r="A53" s="36"/>
      <c r="B53" s="36"/>
      <c r="C53" s="29" t="s">
        <v>99</v>
      </c>
      <c r="D53" s="30"/>
      <c r="E53" s="31" t="s">
        <v>85</v>
      </c>
      <c r="F53" s="32"/>
      <c r="G53" s="9">
        <v>2</v>
      </c>
      <c r="H53" s="9">
        <v>2</v>
      </c>
      <c r="I53" s="9">
        <v>2</v>
      </c>
      <c r="J53" s="9">
        <v>2</v>
      </c>
      <c r="K53" s="9">
        <v>2</v>
      </c>
      <c r="L53" s="9">
        <v>2</v>
      </c>
      <c r="M53" s="9">
        <v>2</v>
      </c>
      <c r="N53" s="9">
        <v>2</v>
      </c>
      <c r="O53" s="9">
        <v>2</v>
      </c>
      <c r="P53" s="10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</row>
    <row r="54" spans="1:21" x14ac:dyDescent="0.3">
      <c r="A54" s="36"/>
      <c r="B54" s="36"/>
      <c r="C54" s="29" t="s">
        <v>89</v>
      </c>
      <c r="D54" s="30"/>
      <c r="E54" s="31" t="s">
        <v>56</v>
      </c>
      <c r="F54" s="32"/>
      <c r="G54" s="9">
        <v>3</v>
      </c>
      <c r="H54" s="9">
        <v>4</v>
      </c>
      <c r="I54" s="9">
        <v>4</v>
      </c>
      <c r="J54" s="9">
        <v>4</v>
      </c>
      <c r="K54" s="9">
        <v>4</v>
      </c>
      <c r="L54" s="9">
        <v>4</v>
      </c>
      <c r="M54" s="9">
        <v>4</v>
      </c>
      <c r="N54" s="9">
        <v>4</v>
      </c>
      <c r="O54" s="9">
        <v>3</v>
      </c>
      <c r="P54" s="10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</row>
    <row r="55" spans="1:21" x14ac:dyDescent="0.3">
      <c r="A55" s="36"/>
      <c r="B55" s="36"/>
      <c r="C55" s="29"/>
      <c r="D55" s="30"/>
      <c r="E55" s="31"/>
      <c r="F55" s="32"/>
      <c r="G55" s="9"/>
      <c r="H55" s="9"/>
      <c r="I55" s="9"/>
      <c r="J55" s="9"/>
      <c r="K55" s="9"/>
      <c r="L55" s="9"/>
      <c r="M55" s="9"/>
      <c r="N55" s="9"/>
      <c r="O55" s="9"/>
      <c r="P55" s="11">
        <v>1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</row>
    <row r="56" spans="1:21" x14ac:dyDescent="0.3">
      <c r="A56" s="36"/>
      <c r="B56" s="36"/>
      <c r="C56" s="29" t="s">
        <v>100</v>
      </c>
      <c r="D56" s="30"/>
      <c r="E56" s="31" t="s">
        <v>56</v>
      </c>
      <c r="F56" s="32"/>
      <c r="G56" s="9">
        <v>4</v>
      </c>
      <c r="H56" s="9">
        <v>4</v>
      </c>
      <c r="I56" s="9">
        <v>4</v>
      </c>
      <c r="J56" s="9">
        <v>4</v>
      </c>
      <c r="K56" s="9">
        <v>4</v>
      </c>
      <c r="L56" s="9">
        <v>4</v>
      </c>
      <c r="M56" s="9">
        <v>4</v>
      </c>
      <c r="N56" s="9">
        <v>4</v>
      </c>
      <c r="O56" s="9">
        <v>4</v>
      </c>
      <c r="P56" s="10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</row>
    <row r="57" spans="1:21" x14ac:dyDescent="0.3">
      <c r="A57" s="36"/>
      <c r="B57" s="36"/>
      <c r="C57" s="29" t="s">
        <v>90</v>
      </c>
      <c r="D57" s="30"/>
      <c r="E57" s="31" t="s">
        <v>85</v>
      </c>
      <c r="F57" s="32"/>
      <c r="G57" s="9">
        <v>2</v>
      </c>
      <c r="H57" s="9">
        <v>2</v>
      </c>
      <c r="I57" s="9">
        <v>2</v>
      </c>
      <c r="J57" s="9">
        <v>2</v>
      </c>
      <c r="K57" s="9">
        <v>2</v>
      </c>
      <c r="L57" s="9">
        <v>2</v>
      </c>
      <c r="M57" s="9">
        <v>2</v>
      </c>
      <c r="N57" s="9">
        <v>2</v>
      </c>
      <c r="O57" s="9">
        <v>2</v>
      </c>
      <c r="P57" s="10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</row>
    <row r="58" spans="1:21" x14ac:dyDescent="0.3">
      <c r="A58" s="36"/>
      <c r="B58" s="36"/>
      <c r="C58" s="29" t="s">
        <v>101</v>
      </c>
      <c r="D58" s="30"/>
      <c r="E58" s="31" t="s">
        <v>85</v>
      </c>
      <c r="F58" s="32"/>
      <c r="G58" s="9">
        <v>2</v>
      </c>
      <c r="H58" s="9">
        <v>2</v>
      </c>
      <c r="I58" s="9">
        <v>2</v>
      </c>
      <c r="J58" s="9">
        <v>2</v>
      </c>
      <c r="K58" s="9">
        <v>2</v>
      </c>
      <c r="L58" s="9">
        <v>2</v>
      </c>
      <c r="M58" s="9">
        <v>2</v>
      </c>
      <c r="N58" s="9">
        <v>2</v>
      </c>
      <c r="O58" s="9">
        <v>2</v>
      </c>
      <c r="P58" s="10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</row>
    <row r="59" spans="1:21" x14ac:dyDescent="0.3">
      <c r="A59" s="36"/>
      <c r="B59" s="36"/>
      <c r="C59" s="29" t="s">
        <v>91</v>
      </c>
      <c r="D59" s="30"/>
      <c r="E59" s="31" t="s">
        <v>86</v>
      </c>
      <c r="F59" s="32"/>
      <c r="G59" s="9">
        <v>6</v>
      </c>
      <c r="H59" s="9">
        <v>4</v>
      </c>
      <c r="I59" s="9">
        <v>4</v>
      </c>
      <c r="J59" s="9">
        <v>4</v>
      </c>
      <c r="K59" s="9">
        <v>4</v>
      </c>
      <c r="L59" s="9">
        <v>4</v>
      </c>
      <c r="M59" s="9">
        <v>4</v>
      </c>
      <c r="N59" s="9">
        <v>4</v>
      </c>
      <c r="O59" s="9">
        <v>4</v>
      </c>
      <c r="P59" s="10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</row>
    <row r="60" spans="1:21" x14ac:dyDescent="0.3">
      <c r="A60" s="36"/>
      <c r="B60" s="36"/>
      <c r="C60" s="29"/>
      <c r="D60" s="30"/>
      <c r="E60" s="31"/>
      <c r="F60" s="32"/>
      <c r="G60" s="9"/>
      <c r="H60" s="9"/>
      <c r="I60" s="9"/>
      <c r="J60" s="9"/>
      <c r="K60" s="9"/>
      <c r="L60" s="9"/>
      <c r="M60" s="9"/>
      <c r="N60" s="9"/>
      <c r="O60" s="9"/>
      <c r="P60" s="12">
        <v>2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</row>
    <row r="61" spans="1:21" x14ac:dyDescent="0.3">
      <c r="A61" s="36"/>
      <c r="B61" s="36"/>
      <c r="C61" s="29" t="s">
        <v>102</v>
      </c>
      <c r="D61" s="30"/>
      <c r="E61" s="31" t="s">
        <v>86</v>
      </c>
      <c r="F61" s="32"/>
      <c r="G61" s="9">
        <v>4</v>
      </c>
      <c r="H61" s="9">
        <v>4</v>
      </c>
      <c r="I61" s="9">
        <v>4</v>
      </c>
      <c r="J61" s="9">
        <v>4</v>
      </c>
      <c r="K61" s="9">
        <v>4</v>
      </c>
      <c r="L61" s="9">
        <v>4</v>
      </c>
      <c r="M61" s="9">
        <v>4</v>
      </c>
      <c r="N61" s="9">
        <v>4</v>
      </c>
      <c r="O61" s="9">
        <v>4</v>
      </c>
      <c r="P61" s="10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</row>
    <row r="62" spans="1:21" x14ac:dyDescent="0.3">
      <c r="A62" s="36"/>
      <c r="B62" s="36"/>
      <c r="C62" s="29" t="s">
        <v>92</v>
      </c>
      <c r="D62" s="30"/>
      <c r="E62" s="31" t="s">
        <v>86</v>
      </c>
      <c r="F62" s="32"/>
      <c r="G62" s="9">
        <v>4</v>
      </c>
      <c r="H62" s="9">
        <v>4</v>
      </c>
      <c r="I62" s="9">
        <v>4</v>
      </c>
      <c r="J62" s="9">
        <v>4</v>
      </c>
      <c r="K62" s="9">
        <v>4</v>
      </c>
      <c r="L62" s="9">
        <v>4</v>
      </c>
      <c r="M62" s="9">
        <v>4</v>
      </c>
      <c r="N62" s="9">
        <v>4</v>
      </c>
      <c r="O62" s="9">
        <v>4</v>
      </c>
      <c r="P62" s="10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</row>
    <row r="63" spans="1:21" x14ac:dyDescent="0.3">
      <c r="A63" s="36"/>
      <c r="B63" s="36"/>
      <c r="C63" s="29" t="s">
        <v>103</v>
      </c>
      <c r="D63" s="30"/>
      <c r="E63" s="31" t="s">
        <v>86</v>
      </c>
      <c r="F63" s="32"/>
      <c r="G63" s="9">
        <v>4</v>
      </c>
      <c r="H63" s="9">
        <v>4</v>
      </c>
      <c r="I63" s="9">
        <v>4</v>
      </c>
      <c r="J63" s="9">
        <v>4</v>
      </c>
      <c r="K63" s="9">
        <v>4</v>
      </c>
      <c r="L63" s="9">
        <v>4</v>
      </c>
      <c r="M63" s="9">
        <v>4</v>
      </c>
      <c r="N63" s="9">
        <v>4</v>
      </c>
      <c r="O63" s="9">
        <v>4</v>
      </c>
      <c r="P63" s="10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</row>
    <row r="64" spans="1:21" x14ac:dyDescent="0.3">
      <c r="A64" s="36"/>
      <c r="B64" s="36"/>
      <c r="C64" s="29" t="s">
        <v>93</v>
      </c>
      <c r="D64" s="30"/>
      <c r="E64" s="31" t="s">
        <v>86</v>
      </c>
      <c r="F64" s="32"/>
      <c r="G64" s="9">
        <v>4</v>
      </c>
      <c r="H64" s="9">
        <v>4</v>
      </c>
      <c r="I64" s="9">
        <v>4</v>
      </c>
      <c r="J64" s="9">
        <v>4</v>
      </c>
      <c r="K64" s="9">
        <v>4</v>
      </c>
      <c r="L64" s="9">
        <v>4</v>
      </c>
      <c r="M64" s="9">
        <v>4</v>
      </c>
      <c r="N64" s="9">
        <v>4</v>
      </c>
      <c r="O64" s="9">
        <v>4</v>
      </c>
      <c r="P64" s="10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</row>
    <row r="65" spans="1:21" x14ac:dyDescent="0.3">
      <c r="A65" s="36"/>
      <c r="B65" s="36"/>
      <c r="C65" s="29" t="s">
        <v>104</v>
      </c>
      <c r="D65" s="30"/>
      <c r="E65" s="31" t="s">
        <v>86</v>
      </c>
      <c r="F65" s="32"/>
      <c r="G65" s="9">
        <v>3</v>
      </c>
      <c r="H65" s="9">
        <v>4</v>
      </c>
      <c r="I65" s="9">
        <v>4</v>
      </c>
      <c r="J65" s="9">
        <v>4</v>
      </c>
      <c r="K65" s="9">
        <v>4</v>
      </c>
      <c r="L65" s="9">
        <v>4</v>
      </c>
      <c r="M65" s="9">
        <v>4</v>
      </c>
      <c r="N65" s="9">
        <v>4</v>
      </c>
      <c r="O65" s="9">
        <v>4</v>
      </c>
      <c r="P65" s="10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</row>
    <row r="66" spans="1:21" x14ac:dyDescent="0.3">
      <c r="A66" s="36"/>
      <c r="B66" s="36"/>
      <c r="C66" s="29"/>
      <c r="D66" s="30"/>
      <c r="E66" s="31"/>
      <c r="F66" s="32"/>
      <c r="G66" s="9"/>
      <c r="H66" s="9"/>
      <c r="I66" s="9"/>
      <c r="J66" s="9"/>
      <c r="K66" s="9"/>
      <c r="L66" s="9"/>
      <c r="M66" s="9"/>
      <c r="N66" s="9"/>
      <c r="O66" s="9"/>
      <c r="P66" s="11">
        <v>1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</row>
    <row r="67" spans="1:21" x14ac:dyDescent="0.3">
      <c r="A67" s="36"/>
      <c r="B67" s="36"/>
      <c r="C67" s="29" t="s">
        <v>94</v>
      </c>
      <c r="D67" s="30"/>
      <c r="E67" s="31" t="s">
        <v>56</v>
      </c>
      <c r="F67" s="32"/>
      <c r="G67" s="9">
        <v>4</v>
      </c>
      <c r="H67" s="9">
        <v>4</v>
      </c>
      <c r="I67" s="9">
        <v>4</v>
      </c>
      <c r="J67" s="9">
        <v>4</v>
      </c>
      <c r="K67" s="9">
        <v>4</v>
      </c>
      <c r="L67" s="9">
        <v>4</v>
      </c>
      <c r="M67" s="9">
        <v>4</v>
      </c>
      <c r="N67" s="9">
        <v>4</v>
      </c>
      <c r="O67" s="9">
        <v>4</v>
      </c>
      <c r="P67" s="10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</row>
    <row r="68" spans="1:21" x14ac:dyDescent="0.3">
      <c r="A68" s="36"/>
      <c r="B68" s="36"/>
      <c r="C68" s="29" t="s">
        <v>106</v>
      </c>
      <c r="D68" s="30"/>
      <c r="E68" s="31" t="s">
        <v>56</v>
      </c>
      <c r="F68" s="32"/>
      <c r="G68" s="9">
        <v>5</v>
      </c>
      <c r="H68" s="9">
        <v>4</v>
      </c>
      <c r="I68" s="9">
        <v>4</v>
      </c>
      <c r="J68" s="9">
        <v>4</v>
      </c>
      <c r="K68" s="9">
        <v>4</v>
      </c>
      <c r="L68" s="9">
        <v>4</v>
      </c>
      <c r="M68" s="9">
        <v>4</v>
      </c>
      <c r="N68" s="9">
        <v>4</v>
      </c>
      <c r="O68" s="9">
        <v>4</v>
      </c>
      <c r="P68" s="10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</row>
    <row r="69" spans="1:21" x14ac:dyDescent="0.3">
      <c r="A69" s="36"/>
      <c r="B69" s="36"/>
      <c r="C69" s="29"/>
      <c r="D69" s="30"/>
      <c r="E69" s="31"/>
      <c r="F69" s="32"/>
      <c r="G69" s="9"/>
      <c r="H69" s="9"/>
      <c r="I69" s="9"/>
      <c r="J69" s="9"/>
      <c r="K69" s="9"/>
      <c r="L69" s="9"/>
      <c r="M69" s="9"/>
      <c r="N69" s="9"/>
      <c r="O69" s="9"/>
      <c r="P69" s="12">
        <v>1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</row>
    <row r="70" spans="1:21" x14ac:dyDescent="0.3">
      <c r="A70" s="36"/>
      <c r="B70" s="36"/>
      <c r="C70" s="29" t="s">
        <v>95</v>
      </c>
      <c r="D70" s="30"/>
      <c r="E70" s="31" t="s">
        <v>56</v>
      </c>
      <c r="F70" s="32"/>
      <c r="G70" s="9">
        <v>2</v>
      </c>
      <c r="H70" s="9">
        <v>4</v>
      </c>
      <c r="I70" s="9">
        <v>4</v>
      </c>
      <c r="J70" s="9">
        <v>4</v>
      </c>
      <c r="K70" s="9">
        <v>4</v>
      </c>
      <c r="L70" s="9">
        <v>4</v>
      </c>
      <c r="M70" s="9">
        <v>4</v>
      </c>
      <c r="N70" s="9">
        <v>4</v>
      </c>
      <c r="O70" s="9">
        <v>4</v>
      </c>
      <c r="P70" s="10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</row>
    <row r="71" spans="1:21" x14ac:dyDescent="0.3">
      <c r="A71" s="36"/>
      <c r="B71" s="36"/>
      <c r="C71" s="29"/>
      <c r="D71" s="30"/>
      <c r="E71" s="31"/>
      <c r="F71" s="32"/>
      <c r="G71" s="9"/>
      <c r="H71" s="9"/>
      <c r="I71" s="9"/>
      <c r="J71" s="9"/>
      <c r="K71" s="9"/>
      <c r="L71" s="9"/>
      <c r="M71" s="9"/>
      <c r="N71" s="9"/>
      <c r="O71" s="9"/>
      <c r="P71" s="11">
        <v>2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</row>
    <row r="72" spans="1:21" x14ac:dyDescent="0.3">
      <c r="A72" s="36"/>
      <c r="B72" s="36"/>
      <c r="C72" s="29" t="s">
        <v>105</v>
      </c>
      <c r="D72" s="30"/>
      <c r="E72" s="31" t="s">
        <v>56</v>
      </c>
      <c r="F72" s="32"/>
      <c r="G72" s="9">
        <v>2</v>
      </c>
      <c r="H72" s="9">
        <v>4</v>
      </c>
      <c r="I72" s="9">
        <v>4</v>
      </c>
      <c r="J72" s="9">
        <v>4</v>
      </c>
      <c r="K72" s="9">
        <v>4</v>
      </c>
      <c r="L72" s="9">
        <v>4</v>
      </c>
      <c r="M72" s="9">
        <v>4</v>
      </c>
      <c r="N72" s="9">
        <v>4</v>
      </c>
      <c r="O72" s="9">
        <v>4</v>
      </c>
      <c r="P72" s="10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</row>
    <row r="73" spans="1:21" x14ac:dyDescent="0.3">
      <c r="A73" s="36"/>
      <c r="B73" s="36"/>
      <c r="C73" s="29"/>
      <c r="D73" s="30"/>
      <c r="E73" s="31"/>
      <c r="F73" s="32"/>
      <c r="G73" s="9"/>
      <c r="H73" s="9"/>
      <c r="I73" s="9"/>
      <c r="J73" s="9"/>
      <c r="K73" s="9"/>
      <c r="L73" s="9"/>
      <c r="M73" s="9"/>
      <c r="N73" s="9"/>
      <c r="O73" s="9"/>
      <c r="P73" s="11">
        <v>2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</row>
    <row r="74" spans="1:21" x14ac:dyDescent="0.3">
      <c r="A74" s="36"/>
      <c r="B74" s="36"/>
      <c r="C74" s="29" t="s">
        <v>23</v>
      </c>
      <c r="D74" s="30"/>
      <c r="E74" s="31" t="s">
        <v>107</v>
      </c>
      <c r="F74" s="32"/>
      <c r="G74" s="9">
        <v>5</v>
      </c>
      <c r="H74" s="9">
        <v>5</v>
      </c>
      <c r="I74" s="9">
        <v>5</v>
      </c>
      <c r="J74" s="9">
        <v>5</v>
      </c>
      <c r="K74" s="9">
        <v>5</v>
      </c>
      <c r="L74" s="9">
        <v>5</v>
      </c>
      <c r="M74" s="9">
        <v>5</v>
      </c>
      <c r="N74" s="9">
        <v>5</v>
      </c>
      <c r="O74" s="9">
        <v>5</v>
      </c>
      <c r="P74" s="10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</row>
    <row r="75" spans="1:21" x14ac:dyDescent="0.3">
      <c r="A75" s="36"/>
      <c r="B75" s="35" t="s">
        <v>26</v>
      </c>
      <c r="C75" s="29" t="s">
        <v>108</v>
      </c>
      <c r="D75" s="30"/>
      <c r="E75" s="31" t="s">
        <v>66</v>
      </c>
      <c r="F75" s="32"/>
      <c r="G75" s="9">
        <v>1</v>
      </c>
      <c r="H75" s="9">
        <v>1</v>
      </c>
      <c r="I75" s="9">
        <v>1</v>
      </c>
      <c r="J75" s="9">
        <v>1</v>
      </c>
      <c r="K75" s="9">
        <v>1</v>
      </c>
      <c r="L75" s="9">
        <v>1</v>
      </c>
      <c r="M75" s="9">
        <v>1</v>
      </c>
      <c r="N75" s="9">
        <v>1</v>
      </c>
      <c r="O75" s="9">
        <v>1</v>
      </c>
      <c r="P75" s="9">
        <v>1</v>
      </c>
      <c r="Q75" s="10">
        <v>0</v>
      </c>
      <c r="R75" s="9">
        <v>0</v>
      </c>
      <c r="S75" s="9">
        <v>0</v>
      </c>
      <c r="T75" s="9">
        <v>0</v>
      </c>
      <c r="U75" s="9">
        <v>0</v>
      </c>
    </row>
    <row r="76" spans="1:21" x14ac:dyDescent="0.3">
      <c r="A76" s="36"/>
      <c r="B76" s="36"/>
      <c r="C76" s="29" t="s">
        <v>25</v>
      </c>
      <c r="D76" s="30"/>
      <c r="E76" s="31" t="s">
        <v>66</v>
      </c>
      <c r="F76" s="32"/>
      <c r="G76" s="9">
        <v>1</v>
      </c>
      <c r="H76" s="9">
        <v>1</v>
      </c>
      <c r="I76" s="9">
        <v>1</v>
      </c>
      <c r="J76" s="9">
        <v>1</v>
      </c>
      <c r="K76" s="9">
        <v>1</v>
      </c>
      <c r="L76" s="9">
        <v>1</v>
      </c>
      <c r="M76" s="9">
        <v>1</v>
      </c>
      <c r="N76" s="9">
        <v>1</v>
      </c>
      <c r="O76" s="9">
        <v>1</v>
      </c>
      <c r="P76" s="9">
        <v>1</v>
      </c>
      <c r="Q76" s="10">
        <v>0</v>
      </c>
      <c r="R76" s="9">
        <v>0</v>
      </c>
      <c r="S76" s="9">
        <v>0</v>
      </c>
      <c r="T76" s="9">
        <v>0</v>
      </c>
      <c r="U76" s="9">
        <v>0</v>
      </c>
    </row>
    <row r="77" spans="1:21" x14ac:dyDescent="0.3">
      <c r="A77" s="36"/>
      <c r="B77" s="36"/>
      <c r="C77" s="29" t="s">
        <v>57</v>
      </c>
      <c r="D77" s="30"/>
      <c r="E77" s="31" t="s">
        <v>66</v>
      </c>
      <c r="F77" s="32"/>
      <c r="G77" s="9">
        <v>1</v>
      </c>
      <c r="H77" s="9">
        <v>1</v>
      </c>
      <c r="I77" s="9">
        <v>1</v>
      </c>
      <c r="J77" s="9">
        <v>1</v>
      </c>
      <c r="K77" s="9">
        <v>1</v>
      </c>
      <c r="L77" s="9">
        <v>1</v>
      </c>
      <c r="M77" s="9">
        <v>1</v>
      </c>
      <c r="N77" s="9">
        <v>1</v>
      </c>
      <c r="O77" s="9">
        <v>1</v>
      </c>
      <c r="P77" s="9">
        <v>1</v>
      </c>
      <c r="Q77" s="10">
        <v>0</v>
      </c>
      <c r="R77" s="9">
        <v>0</v>
      </c>
      <c r="S77" s="9">
        <v>0</v>
      </c>
      <c r="T77" s="9">
        <v>0</v>
      </c>
      <c r="U77" s="9">
        <v>0</v>
      </c>
    </row>
    <row r="78" spans="1:21" x14ac:dyDescent="0.3">
      <c r="A78" s="36"/>
      <c r="B78" s="36"/>
      <c r="C78" s="29" t="s">
        <v>109</v>
      </c>
      <c r="D78" s="30"/>
      <c r="E78" s="31" t="s">
        <v>66</v>
      </c>
      <c r="F78" s="32"/>
      <c r="G78" s="9">
        <v>1</v>
      </c>
      <c r="H78" s="9">
        <v>1</v>
      </c>
      <c r="I78" s="9">
        <v>1</v>
      </c>
      <c r="J78" s="9">
        <v>1</v>
      </c>
      <c r="K78" s="9">
        <v>1</v>
      </c>
      <c r="L78" s="9">
        <v>1</v>
      </c>
      <c r="M78" s="9">
        <v>1</v>
      </c>
      <c r="N78" s="9">
        <v>1</v>
      </c>
      <c r="O78" s="9">
        <v>1</v>
      </c>
      <c r="P78" s="9">
        <v>1</v>
      </c>
      <c r="Q78" s="10">
        <v>0</v>
      </c>
      <c r="R78" s="9">
        <v>0</v>
      </c>
      <c r="S78" s="9">
        <v>0</v>
      </c>
      <c r="T78" s="9">
        <v>0</v>
      </c>
      <c r="U78" s="9">
        <v>0</v>
      </c>
    </row>
    <row r="79" spans="1:21" x14ac:dyDescent="0.3">
      <c r="A79" s="36"/>
      <c r="B79" s="36"/>
      <c r="C79" s="29" t="s">
        <v>110</v>
      </c>
      <c r="D79" s="30"/>
      <c r="E79" s="31" t="s">
        <v>66</v>
      </c>
      <c r="F79" s="32"/>
      <c r="G79" s="9">
        <v>2</v>
      </c>
      <c r="H79" s="9">
        <v>1</v>
      </c>
      <c r="I79" s="9">
        <v>1</v>
      </c>
      <c r="J79" s="9">
        <v>1</v>
      </c>
      <c r="K79" s="9">
        <v>1</v>
      </c>
      <c r="L79" s="9">
        <v>1</v>
      </c>
      <c r="M79" s="9">
        <v>1</v>
      </c>
      <c r="N79" s="9">
        <v>1</v>
      </c>
      <c r="O79" s="9">
        <v>1</v>
      </c>
      <c r="P79" s="9">
        <v>1</v>
      </c>
      <c r="Q79" s="10">
        <v>0</v>
      </c>
      <c r="R79" s="9">
        <v>0</v>
      </c>
      <c r="S79" s="9">
        <v>0</v>
      </c>
      <c r="T79" s="9">
        <v>0</v>
      </c>
      <c r="U79" s="9">
        <v>0</v>
      </c>
    </row>
    <row r="80" spans="1:21" x14ac:dyDescent="0.3">
      <c r="A80" s="36"/>
      <c r="B80" s="36"/>
      <c r="C80" s="29"/>
      <c r="D80" s="30"/>
      <c r="E80" s="31"/>
      <c r="F80" s="32"/>
      <c r="G80" s="9"/>
      <c r="H80" s="9"/>
      <c r="I80" s="9"/>
      <c r="J80" s="9"/>
      <c r="K80" s="9"/>
      <c r="L80" s="9"/>
      <c r="M80" s="9"/>
      <c r="N80" s="9"/>
      <c r="O80" s="9"/>
      <c r="P80" s="9"/>
      <c r="Q80" s="12">
        <v>1</v>
      </c>
      <c r="R80" s="9">
        <v>0</v>
      </c>
      <c r="S80" s="9">
        <v>0</v>
      </c>
      <c r="T80" s="9">
        <v>0</v>
      </c>
      <c r="U80" s="9">
        <v>0</v>
      </c>
    </row>
    <row r="81" spans="1:21" x14ac:dyDescent="0.3">
      <c r="A81" s="36"/>
      <c r="B81" s="36"/>
      <c r="C81" s="29" t="s">
        <v>111</v>
      </c>
      <c r="D81" s="30"/>
      <c r="E81" s="31" t="s">
        <v>66</v>
      </c>
      <c r="F81" s="32"/>
      <c r="G81" s="9">
        <v>1</v>
      </c>
      <c r="H81" s="9">
        <v>1</v>
      </c>
      <c r="I81" s="9">
        <v>1</v>
      </c>
      <c r="J81" s="9">
        <v>1</v>
      </c>
      <c r="K81" s="9">
        <v>1</v>
      </c>
      <c r="L81" s="9">
        <v>1</v>
      </c>
      <c r="M81" s="9">
        <v>1</v>
      </c>
      <c r="N81" s="9">
        <v>1</v>
      </c>
      <c r="O81" s="9">
        <v>1</v>
      </c>
      <c r="P81" s="9">
        <v>1</v>
      </c>
      <c r="Q81" s="10">
        <v>0</v>
      </c>
      <c r="R81" s="9">
        <v>0</v>
      </c>
      <c r="S81" s="9">
        <v>0</v>
      </c>
      <c r="T81" s="9">
        <v>0</v>
      </c>
      <c r="U81" s="9">
        <v>0</v>
      </c>
    </row>
    <row r="82" spans="1:21" x14ac:dyDescent="0.3">
      <c r="A82" s="36"/>
      <c r="B82" s="36"/>
      <c r="C82" s="29" t="s">
        <v>112</v>
      </c>
      <c r="D82" s="30"/>
      <c r="E82" s="31" t="s">
        <v>66</v>
      </c>
      <c r="F82" s="32"/>
      <c r="G82" s="9">
        <v>1</v>
      </c>
      <c r="H82" s="9">
        <v>1</v>
      </c>
      <c r="I82" s="9">
        <v>1</v>
      </c>
      <c r="J82" s="9">
        <v>1</v>
      </c>
      <c r="K82" s="9">
        <v>1</v>
      </c>
      <c r="L82" s="9">
        <v>1</v>
      </c>
      <c r="M82" s="9">
        <v>1</v>
      </c>
      <c r="N82" s="9">
        <v>1</v>
      </c>
      <c r="O82" s="9">
        <v>1</v>
      </c>
      <c r="P82" s="9">
        <v>1</v>
      </c>
      <c r="Q82" s="10">
        <v>0</v>
      </c>
      <c r="R82" s="9">
        <v>0</v>
      </c>
      <c r="S82" s="9">
        <v>0</v>
      </c>
      <c r="T82" s="9">
        <v>0</v>
      </c>
      <c r="U82" s="9">
        <v>0</v>
      </c>
    </row>
    <row r="83" spans="1:21" x14ac:dyDescent="0.3">
      <c r="A83" s="36"/>
      <c r="B83" s="36"/>
      <c r="C83" s="29" t="s">
        <v>113</v>
      </c>
      <c r="D83" s="30"/>
      <c r="E83" s="31" t="s">
        <v>66</v>
      </c>
      <c r="F83" s="32"/>
      <c r="G83" s="9">
        <v>2</v>
      </c>
      <c r="H83" s="9">
        <v>1</v>
      </c>
      <c r="I83" s="9">
        <v>1</v>
      </c>
      <c r="J83" s="9">
        <v>1</v>
      </c>
      <c r="K83" s="9">
        <v>1</v>
      </c>
      <c r="L83" s="9">
        <v>1</v>
      </c>
      <c r="M83" s="9">
        <v>1</v>
      </c>
      <c r="N83" s="9">
        <v>1</v>
      </c>
      <c r="O83" s="9">
        <v>1</v>
      </c>
      <c r="P83" s="9">
        <v>1</v>
      </c>
      <c r="Q83" s="10">
        <v>0</v>
      </c>
      <c r="R83" s="9">
        <v>0</v>
      </c>
      <c r="S83" s="9">
        <v>0</v>
      </c>
      <c r="T83" s="9">
        <v>0</v>
      </c>
      <c r="U83" s="9">
        <v>0</v>
      </c>
    </row>
    <row r="84" spans="1:21" x14ac:dyDescent="0.3">
      <c r="A84" s="36"/>
      <c r="B84" s="36"/>
      <c r="C84" s="29"/>
      <c r="D84" s="30"/>
      <c r="E84" s="31"/>
      <c r="F84" s="32"/>
      <c r="G84" s="9"/>
      <c r="H84" s="9"/>
      <c r="I84" s="9"/>
      <c r="J84" s="9"/>
      <c r="K84" s="9"/>
      <c r="L84" s="9"/>
      <c r="M84" s="9"/>
      <c r="N84" s="9"/>
      <c r="O84" s="9"/>
      <c r="P84" s="9"/>
      <c r="Q84" s="12">
        <v>1</v>
      </c>
      <c r="R84" s="9">
        <v>0</v>
      </c>
      <c r="S84" s="9">
        <v>0</v>
      </c>
      <c r="T84" s="9">
        <v>0</v>
      </c>
      <c r="U84" s="9">
        <v>0</v>
      </c>
    </row>
    <row r="85" spans="1:21" x14ac:dyDescent="0.3">
      <c r="A85" s="36"/>
      <c r="B85" s="36"/>
      <c r="C85" s="29" t="s">
        <v>114</v>
      </c>
      <c r="D85" s="30"/>
      <c r="E85" s="31" t="s">
        <v>66</v>
      </c>
      <c r="F85" s="32"/>
      <c r="G85" s="9">
        <v>1</v>
      </c>
      <c r="H85" s="9">
        <v>1</v>
      </c>
      <c r="I85" s="9">
        <v>1</v>
      </c>
      <c r="J85" s="9">
        <v>1</v>
      </c>
      <c r="K85" s="9">
        <v>1</v>
      </c>
      <c r="L85" s="9">
        <v>1</v>
      </c>
      <c r="M85" s="9">
        <v>1</v>
      </c>
      <c r="N85" s="9">
        <v>1</v>
      </c>
      <c r="O85" s="9">
        <v>1</v>
      </c>
      <c r="P85" s="9">
        <v>1</v>
      </c>
      <c r="Q85" s="10">
        <v>0</v>
      </c>
      <c r="R85" s="9">
        <v>0</v>
      </c>
      <c r="S85" s="9">
        <v>0</v>
      </c>
      <c r="T85" s="9">
        <v>0</v>
      </c>
      <c r="U85" s="9">
        <v>0</v>
      </c>
    </row>
    <row r="86" spans="1:21" x14ac:dyDescent="0.3">
      <c r="A86" s="36"/>
      <c r="B86" s="36"/>
      <c r="C86" s="29" t="s">
        <v>115</v>
      </c>
      <c r="D86" s="30"/>
      <c r="E86" s="31" t="s">
        <v>66</v>
      </c>
      <c r="F86" s="32"/>
      <c r="G86" s="9">
        <v>1</v>
      </c>
      <c r="H86" s="9">
        <v>1</v>
      </c>
      <c r="I86" s="9">
        <v>1</v>
      </c>
      <c r="J86" s="9">
        <v>1</v>
      </c>
      <c r="K86" s="9">
        <v>1</v>
      </c>
      <c r="L86" s="9">
        <v>1</v>
      </c>
      <c r="M86" s="9">
        <v>1</v>
      </c>
      <c r="N86" s="9">
        <v>1</v>
      </c>
      <c r="O86" s="9">
        <v>1</v>
      </c>
      <c r="P86" s="9">
        <v>1</v>
      </c>
      <c r="Q86" s="10">
        <v>0</v>
      </c>
      <c r="R86" s="9">
        <v>0</v>
      </c>
      <c r="S86" s="9">
        <v>0</v>
      </c>
      <c r="T86" s="9">
        <v>0</v>
      </c>
      <c r="U86" s="9">
        <v>0</v>
      </c>
    </row>
    <row r="87" spans="1:21" x14ac:dyDescent="0.3">
      <c r="A87" s="36"/>
      <c r="B87" s="37"/>
      <c r="C87" s="29" t="s">
        <v>116</v>
      </c>
      <c r="D87" s="30"/>
      <c r="E87" s="31" t="s">
        <v>66</v>
      </c>
      <c r="F87" s="32"/>
      <c r="G87" s="9">
        <v>1</v>
      </c>
      <c r="H87" s="9">
        <v>1</v>
      </c>
      <c r="I87" s="9">
        <v>1</v>
      </c>
      <c r="J87" s="9">
        <v>1</v>
      </c>
      <c r="K87" s="9">
        <v>1</v>
      </c>
      <c r="L87" s="9">
        <v>1</v>
      </c>
      <c r="M87" s="9">
        <v>1</v>
      </c>
      <c r="N87" s="9">
        <v>1</v>
      </c>
      <c r="O87" s="9">
        <v>1</v>
      </c>
      <c r="P87" s="9">
        <v>1</v>
      </c>
      <c r="Q87" s="10">
        <v>0</v>
      </c>
      <c r="R87" s="9">
        <v>0</v>
      </c>
      <c r="S87" s="9">
        <v>0</v>
      </c>
      <c r="T87" s="9">
        <v>0</v>
      </c>
      <c r="U87" s="9">
        <v>0</v>
      </c>
    </row>
    <row r="88" spans="1:21" x14ac:dyDescent="0.3">
      <c r="A88" s="36"/>
      <c r="B88" s="35" t="s">
        <v>28</v>
      </c>
      <c r="C88" s="29" t="s">
        <v>117</v>
      </c>
      <c r="D88" s="30"/>
      <c r="E88" s="31" t="s">
        <v>54</v>
      </c>
      <c r="F88" s="32"/>
      <c r="G88" s="9">
        <v>1</v>
      </c>
      <c r="H88" s="9">
        <v>1</v>
      </c>
      <c r="I88" s="9">
        <v>1</v>
      </c>
      <c r="J88" s="9">
        <v>1</v>
      </c>
      <c r="K88" s="9">
        <v>1</v>
      </c>
      <c r="L88" s="9">
        <v>1</v>
      </c>
      <c r="M88" s="9">
        <v>1</v>
      </c>
      <c r="N88" s="9">
        <v>1</v>
      </c>
      <c r="O88" s="9">
        <v>1</v>
      </c>
      <c r="P88" s="9">
        <v>1</v>
      </c>
      <c r="Q88" s="10">
        <v>0</v>
      </c>
      <c r="R88" s="9">
        <v>0</v>
      </c>
      <c r="S88" s="9">
        <v>0</v>
      </c>
      <c r="T88" s="9">
        <v>0</v>
      </c>
      <c r="U88" s="9">
        <v>0</v>
      </c>
    </row>
    <row r="89" spans="1:21" x14ac:dyDescent="0.3">
      <c r="A89" s="36"/>
      <c r="B89" s="36"/>
      <c r="C89" s="29" t="s">
        <v>27</v>
      </c>
      <c r="D89" s="30"/>
      <c r="E89" s="31" t="s">
        <v>54</v>
      </c>
      <c r="F89" s="32"/>
      <c r="G89" s="9">
        <v>1</v>
      </c>
      <c r="H89" s="9">
        <v>1</v>
      </c>
      <c r="I89" s="9">
        <v>1</v>
      </c>
      <c r="J89" s="9">
        <v>1</v>
      </c>
      <c r="K89" s="9">
        <v>1</v>
      </c>
      <c r="L89" s="9">
        <v>1</v>
      </c>
      <c r="M89" s="9">
        <v>1</v>
      </c>
      <c r="N89" s="9">
        <v>1</v>
      </c>
      <c r="O89" s="9">
        <v>1</v>
      </c>
      <c r="P89" s="9">
        <v>1</v>
      </c>
      <c r="Q89" s="10">
        <v>0</v>
      </c>
      <c r="R89" s="9">
        <v>0</v>
      </c>
      <c r="S89" s="9">
        <v>0</v>
      </c>
      <c r="T89" s="9">
        <v>0</v>
      </c>
      <c r="U89" s="9">
        <v>0</v>
      </c>
    </row>
    <row r="90" spans="1:21" x14ac:dyDescent="0.3">
      <c r="A90" s="36"/>
      <c r="B90" s="36"/>
      <c r="C90" s="29" t="s">
        <v>58</v>
      </c>
      <c r="D90" s="30"/>
      <c r="E90" s="31" t="s">
        <v>54</v>
      </c>
      <c r="F90" s="32"/>
      <c r="G90" s="9">
        <v>1</v>
      </c>
      <c r="H90" s="9">
        <v>1</v>
      </c>
      <c r="I90" s="9">
        <v>1</v>
      </c>
      <c r="J90" s="9">
        <v>1</v>
      </c>
      <c r="K90" s="9">
        <v>1</v>
      </c>
      <c r="L90" s="9">
        <v>1</v>
      </c>
      <c r="M90" s="9">
        <v>1</v>
      </c>
      <c r="N90" s="9">
        <v>1</v>
      </c>
      <c r="O90" s="9">
        <v>1</v>
      </c>
      <c r="P90" s="9">
        <v>1</v>
      </c>
      <c r="Q90" s="10">
        <v>0</v>
      </c>
      <c r="R90" s="9">
        <v>0</v>
      </c>
      <c r="S90" s="9">
        <v>0</v>
      </c>
      <c r="T90" s="9">
        <v>0</v>
      </c>
      <c r="U90" s="9">
        <v>0</v>
      </c>
    </row>
    <row r="91" spans="1:21" x14ac:dyDescent="0.3">
      <c r="A91" s="36"/>
      <c r="B91" s="36"/>
      <c r="C91" s="29" t="s">
        <v>118</v>
      </c>
      <c r="D91" s="30"/>
      <c r="E91" s="31" t="s">
        <v>85</v>
      </c>
      <c r="F91" s="32"/>
      <c r="G91" s="9">
        <v>1</v>
      </c>
      <c r="H91" s="9">
        <v>1</v>
      </c>
      <c r="I91" s="9">
        <v>1</v>
      </c>
      <c r="J91" s="9">
        <v>1</v>
      </c>
      <c r="K91" s="9">
        <v>1</v>
      </c>
      <c r="L91" s="9">
        <v>1</v>
      </c>
      <c r="M91" s="9">
        <v>1</v>
      </c>
      <c r="N91" s="9">
        <v>1</v>
      </c>
      <c r="O91" s="9">
        <v>1</v>
      </c>
      <c r="P91" s="9">
        <v>1</v>
      </c>
      <c r="Q91" s="10">
        <v>0</v>
      </c>
      <c r="R91" s="9">
        <v>0</v>
      </c>
      <c r="S91" s="9">
        <v>0</v>
      </c>
      <c r="T91" s="9">
        <v>0</v>
      </c>
      <c r="U91" s="9">
        <v>0</v>
      </c>
    </row>
    <row r="92" spans="1:21" x14ac:dyDescent="0.3">
      <c r="A92" s="36"/>
      <c r="B92" s="36"/>
      <c r="C92" s="29" t="s">
        <v>119</v>
      </c>
      <c r="D92" s="30"/>
      <c r="E92" s="31" t="s">
        <v>56</v>
      </c>
      <c r="F92" s="32"/>
      <c r="G92" s="9">
        <v>2</v>
      </c>
      <c r="H92" s="9">
        <v>3</v>
      </c>
      <c r="I92" s="9">
        <v>3</v>
      </c>
      <c r="J92" s="9">
        <v>3</v>
      </c>
      <c r="K92" s="9">
        <v>3</v>
      </c>
      <c r="L92" s="9">
        <v>3</v>
      </c>
      <c r="M92" s="9">
        <v>3</v>
      </c>
      <c r="N92" s="9">
        <v>3</v>
      </c>
      <c r="O92" s="9">
        <v>3</v>
      </c>
      <c r="P92" s="9">
        <v>3</v>
      </c>
      <c r="Q92" s="10">
        <v>0</v>
      </c>
      <c r="R92" s="9">
        <v>0</v>
      </c>
      <c r="S92" s="9">
        <v>0</v>
      </c>
      <c r="T92" s="9">
        <v>0</v>
      </c>
      <c r="U92" s="9">
        <v>0</v>
      </c>
    </row>
    <row r="93" spans="1:21" x14ac:dyDescent="0.3">
      <c r="A93" s="36"/>
      <c r="B93" s="36"/>
      <c r="C93" s="29"/>
      <c r="D93" s="30"/>
      <c r="E93" s="31"/>
      <c r="F93" s="32"/>
      <c r="G93" s="9"/>
      <c r="H93" s="9"/>
      <c r="I93" s="9"/>
      <c r="J93" s="9"/>
      <c r="K93" s="9"/>
      <c r="L93" s="9"/>
      <c r="M93" s="9"/>
      <c r="N93" s="9"/>
      <c r="O93" s="9"/>
      <c r="P93" s="9"/>
      <c r="Q93" s="11">
        <v>1</v>
      </c>
      <c r="R93" s="9">
        <v>0</v>
      </c>
      <c r="S93" s="9">
        <v>0</v>
      </c>
      <c r="T93" s="9">
        <v>0</v>
      </c>
      <c r="U93" s="9">
        <v>0</v>
      </c>
    </row>
    <row r="94" spans="1:21" x14ac:dyDescent="0.3">
      <c r="A94" s="36"/>
      <c r="B94" s="36"/>
      <c r="C94" s="29" t="s">
        <v>120</v>
      </c>
      <c r="D94" s="30"/>
      <c r="E94" s="31" t="s">
        <v>85</v>
      </c>
      <c r="F94" s="32"/>
      <c r="G94" s="9">
        <v>1</v>
      </c>
      <c r="H94" s="9">
        <v>1</v>
      </c>
      <c r="I94" s="9">
        <v>1</v>
      </c>
      <c r="J94" s="9">
        <v>1</v>
      </c>
      <c r="K94" s="9">
        <v>1</v>
      </c>
      <c r="L94" s="9">
        <v>1</v>
      </c>
      <c r="M94" s="9">
        <v>1</v>
      </c>
      <c r="N94" s="9">
        <v>1</v>
      </c>
      <c r="O94" s="9">
        <v>1</v>
      </c>
      <c r="P94" s="9">
        <v>1</v>
      </c>
      <c r="Q94" s="9">
        <v>1</v>
      </c>
      <c r="R94" s="10">
        <v>0</v>
      </c>
      <c r="S94" s="9">
        <v>0</v>
      </c>
      <c r="T94" s="9">
        <v>0</v>
      </c>
      <c r="U94" s="9">
        <v>0</v>
      </c>
    </row>
    <row r="95" spans="1:21" x14ac:dyDescent="0.3">
      <c r="A95" s="36"/>
      <c r="B95" s="36"/>
      <c r="C95" s="29" t="s">
        <v>121</v>
      </c>
      <c r="D95" s="30"/>
      <c r="E95" s="31" t="s">
        <v>86</v>
      </c>
      <c r="F95" s="32"/>
      <c r="G95" s="9">
        <v>2</v>
      </c>
      <c r="H95" s="9">
        <v>1</v>
      </c>
      <c r="I95" s="9">
        <v>1</v>
      </c>
      <c r="J95" s="9">
        <v>1</v>
      </c>
      <c r="K95" s="9">
        <v>1</v>
      </c>
      <c r="L95" s="9">
        <v>1</v>
      </c>
      <c r="M95" s="9">
        <v>1</v>
      </c>
      <c r="N95" s="9">
        <v>1</v>
      </c>
      <c r="O95" s="9">
        <v>1</v>
      </c>
      <c r="P95" s="9">
        <v>1</v>
      </c>
      <c r="Q95" s="9">
        <v>1</v>
      </c>
      <c r="R95" s="10">
        <v>0</v>
      </c>
      <c r="S95" s="9">
        <v>0</v>
      </c>
      <c r="T95" s="9">
        <v>0</v>
      </c>
      <c r="U95" s="9">
        <v>0</v>
      </c>
    </row>
    <row r="96" spans="1:21" x14ac:dyDescent="0.3">
      <c r="A96" s="36"/>
      <c r="B96" s="36"/>
      <c r="C96" s="29"/>
      <c r="D96" s="30"/>
      <c r="E96" s="31"/>
      <c r="F96" s="32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2">
        <v>1</v>
      </c>
      <c r="S96" s="9">
        <v>0</v>
      </c>
      <c r="T96" s="9">
        <v>0</v>
      </c>
      <c r="U96" s="9">
        <v>0</v>
      </c>
    </row>
    <row r="97" spans="1:21" x14ac:dyDescent="0.3">
      <c r="A97" s="36"/>
      <c r="B97" s="36"/>
      <c r="C97" s="29" t="s">
        <v>122</v>
      </c>
      <c r="D97" s="30"/>
      <c r="E97" s="31" t="s">
        <v>86</v>
      </c>
      <c r="F97" s="32"/>
      <c r="G97" s="9">
        <v>1</v>
      </c>
      <c r="H97" s="9">
        <v>1</v>
      </c>
      <c r="I97" s="9">
        <v>1</v>
      </c>
      <c r="J97" s="9">
        <v>1</v>
      </c>
      <c r="K97" s="9">
        <v>1</v>
      </c>
      <c r="L97" s="9">
        <v>1</v>
      </c>
      <c r="M97" s="9">
        <v>1</v>
      </c>
      <c r="N97" s="9">
        <v>1</v>
      </c>
      <c r="O97" s="9">
        <v>1</v>
      </c>
      <c r="P97" s="9">
        <v>1</v>
      </c>
      <c r="Q97" s="9">
        <v>1</v>
      </c>
      <c r="R97" s="10">
        <v>0</v>
      </c>
      <c r="S97" s="9">
        <v>0</v>
      </c>
      <c r="T97" s="9">
        <v>0</v>
      </c>
      <c r="U97" s="9">
        <v>0</v>
      </c>
    </row>
    <row r="98" spans="1:21" x14ac:dyDescent="0.3">
      <c r="A98" s="36"/>
      <c r="B98" s="36"/>
      <c r="C98" s="29" t="s">
        <v>123</v>
      </c>
      <c r="D98" s="30"/>
      <c r="E98" s="31" t="s">
        <v>86</v>
      </c>
      <c r="F98" s="32"/>
      <c r="G98" s="9">
        <v>1</v>
      </c>
      <c r="H98" s="9">
        <v>1</v>
      </c>
      <c r="I98" s="9">
        <v>1</v>
      </c>
      <c r="J98" s="9">
        <v>1</v>
      </c>
      <c r="K98" s="9">
        <v>1</v>
      </c>
      <c r="L98" s="9">
        <v>1</v>
      </c>
      <c r="M98" s="9">
        <v>1</v>
      </c>
      <c r="N98" s="9">
        <v>1</v>
      </c>
      <c r="O98" s="9">
        <v>1</v>
      </c>
      <c r="P98" s="9">
        <v>1</v>
      </c>
      <c r="Q98" s="9">
        <v>1</v>
      </c>
      <c r="R98" s="10">
        <v>0</v>
      </c>
      <c r="S98" s="9">
        <v>0</v>
      </c>
      <c r="T98" s="9">
        <v>0</v>
      </c>
      <c r="U98" s="9">
        <v>0</v>
      </c>
    </row>
    <row r="99" spans="1:21" x14ac:dyDescent="0.3">
      <c r="A99" s="36"/>
      <c r="B99" s="36"/>
      <c r="C99" s="29" t="s">
        <v>124</v>
      </c>
      <c r="D99" s="30"/>
      <c r="E99" s="31" t="s">
        <v>56</v>
      </c>
      <c r="F99" s="32"/>
      <c r="G99" s="9">
        <v>1</v>
      </c>
      <c r="H99" s="9">
        <v>1</v>
      </c>
      <c r="I99" s="9">
        <v>1</v>
      </c>
      <c r="J99" s="9">
        <v>1</v>
      </c>
      <c r="K99" s="9">
        <v>1</v>
      </c>
      <c r="L99" s="9">
        <v>1</v>
      </c>
      <c r="M99" s="9">
        <v>1</v>
      </c>
      <c r="N99" s="9">
        <v>1</v>
      </c>
      <c r="O99" s="9">
        <v>1</v>
      </c>
      <c r="P99" s="9">
        <v>1</v>
      </c>
      <c r="Q99" s="9">
        <v>1</v>
      </c>
      <c r="R99" s="10">
        <v>0</v>
      </c>
      <c r="S99" s="9">
        <v>0</v>
      </c>
      <c r="T99" s="9">
        <v>0</v>
      </c>
      <c r="U99" s="9">
        <v>0</v>
      </c>
    </row>
    <row r="100" spans="1:21" x14ac:dyDescent="0.3">
      <c r="A100" s="36"/>
      <c r="B100" s="37"/>
      <c r="C100" s="29" t="s">
        <v>125</v>
      </c>
      <c r="D100" s="30"/>
      <c r="E100" s="31" t="s">
        <v>56</v>
      </c>
      <c r="F100" s="32"/>
      <c r="G100" s="9">
        <v>1</v>
      </c>
      <c r="H100" s="9">
        <v>1</v>
      </c>
      <c r="I100" s="9">
        <v>1</v>
      </c>
      <c r="J100" s="9">
        <v>1</v>
      </c>
      <c r="K100" s="9">
        <v>1</v>
      </c>
      <c r="L100" s="9">
        <v>1</v>
      </c>
      <c r="M100" s="9">
        <v>1</v>
      </c>
      <c r="N100" s="9">
        <v>1</v>
      </c>
      <c r="O100" s="9">
        <v>1</v>
      </c>
      <c r="P100" s="9">
        <v>1</v>
      </c>
      <c r="Q100" s="9">
        <v>1</v>
      </c>
      <c r="R100" s="10">
        <v>0</v>
      </c>
      <c r="S100" s="9">
        <v>0</v>
      </c>
      <c r="T100" s="9">
        <v>0</v>
      </c>
      <c r="U100" s="9">
        <v>0</v>
      </c>
    </row>
    <row r="101" spans="1:21" x14ac:dyDescent="0.3">
      <c r="A101" s="36"/>
      <c r="B101" s="35" t="s">
        <v>36</v>
      </c>
      <c r="C101" s="29" t="s">
        <v>108</v>
      </c>
      <c r="D101" s="30"/>
      <c r="E101" s="31" t="s">
        <v>66</v>
      </c>
      <c r="F101" s="32"/>
      <c r="G101" s="9">
        <v>1</v>
      </c>
      <c r="H101" s="9">
        <v>1</v>
      </c>
      <c r="I101" s="9">
        <v>1</v>
      </c>
      <c r="J101" s="9">
        <v>1</v>
      </c>
      <c r="K101" s="9">
        <v>1</v>
      </c>
      <c r="L101" s="9">
        <v>1</v>
      </c>
      <c r="M101" s="9">
        <v>1</v>
      </c>
      <c r="N101" s="9">
        <v>1</v>
      </c>
      <c r="O101" s="9">
        <v>1</v>
      </c>
      <c r="P101" s="9">
        <v>1</v>
      </c>
      <c r="Q101" s="9">
        <v>1</v>
      </c>
      <c r="R101" s="10">
        <v>0</v>
      </c>
      <c r="S101" s="9">
        <v>0</v>
      </c>
      <c r="T101" s="9">
        <v>0</v>
      </c>
      <c r="U101" s="9">
        <v>0</v>
      </c>
    </row>
    <row r="102" spans="1:21" x14ac:dyDescent="0.3">
      <c r="A102" s="36"/>
      <c r="B102" s="36"/>
      <c r="C102" s="29" t="s">
        <v>25</v>
      </c>
      <c r="D102" s="30"/>
      <c r="E102" s="31" t="s">
        <v>66</v>
      </c>
      <c r="F102" s="32"/>
      <c r="G102" s="9">
        <v>1</v>
      </c>
      <c r="H102" s="9">
        <v>1</v>
      </c>
      <c r="I102" s="9">
        <v>1</v>
      </c>
      <c r="J102" s="9">
        <v>1</v>
      </c>
      <c r="K102" s="9">
        <v>1</v>
      </c>
      <c r="L102" s="9">
        <v>1</v>
      </c>
      <c r="M102" s="9">
        <v>1</v>
      </c>
      <c r="N102" s="9">
        <v>1</v>
      </c>
      <c r="O102" s="9">
        <v>1</v>
      </c>
      <c r="P102" s="9">
        <v>1</v>
      </c>
      <c r="Q102" s="9">
        <v>1</v>
      </c>
      <c r="R102" s="10">
        <v>0</v>
      </c>
      <c r="S102" s="10">
        <v>0</v>
      </c>
      <c r="T102" s="9">
        <v>0</v>
      </c>
      <c r="U102" s="9">
        <v>0</v>
      </c>
    </row>
    <row r="103" spans="1:21" x14ac:dyDescent="0.3">
      <c r="A103" s="36"/>
      <c r="B103" s="36"/>
      <c r="C103" s="29" t="s">
        <v>57</v>
      </c>
      <c r="D103" s="30"/>
      <c r="E103" s="31" t="s">
        <v>66</v>
      </c>
      <c r="F103" s="32"/>
      <c r="G103" s="9">
        <v>2</v>
      </c>
      <c r="H103" s="9">
        <v>2</v>
      </c>
      <c r="I103" s="9">
        <v>2</v>
      </c>
      <c r="J103" s="9">
        <v>2</v>
      </c>
      <c r="K103" s="9">
        <v>2</v>
      </c>
      <c r="L103" s="9">
        <v>2</v>
      </c>
      <c r="M103" s="9">
        <v>2</v>
      </c>
      <c r="N103" s="9">
        <v>2</v>
      </c>
      <c r="O103" s="9">
        <v>2</v>
      </c>
      <c r="P103" s="9">
        <v>2</v>
      </c>
      <c r="Q103" s="9">
        <v>2</v>
      </c>
      <c r="R103" s="9">
        <v>2</v>
      </c>
      <c r="S103" s="10">
        <v>0</v>
      </c>
      <c r="T103" s="9">
        <v>0</v>
      </c>
      <c r="U103" s="9">
        <v>0</v>
      </c>
    </row>
    <row r="104" spans="1:21" x14ac:dyDescent="0.3">
      <c r="A104" s="36"/>
      <c r="B104" s="36"/>
      <c r="C104" s="29" t="s">
        <v>109</v>
      </c>
      <c r="D104" s="30"/>
      <c r="E104" s="31" t="s">
        <v>66</v>
      </c>
      <c r="F104" s="32"/>
      <c r="G104" s="9">
        <v>2</v>
      </c>
      <c r="H104" s="9">
        <v>2</v>
      </c>
      <c r="I104" s="9">
        <v>2</v>
      </c>
      <c r="J104" s="9">
        <v>2</v>
      </c>
      <c r="K104" s="9">
        <v>2</v>
      </c>
      <c r="L104" s="9">
        <v>2</v>
      </c>
      <c r="M104" s="9">
        <v>2</v>
      </c>
      <c r="N104" s="9">
        <v>2</v>
      </c>
      <c r="O104" s="9">
        <v>2</v>
      </c>
      <c r="P104" s="9">
        <v>2</v>
      </c>
      <c r="Q104" s="9">
        <v>2</v>
      </c>
      <c r="R104" s="9">
        <v>2</v>
      </c>
      <c r="S104" s="10">
        <v>0</v>
      </c>
      <c r="T104" s="9">
        <v>0</v>
      </c>
      <c r="U104" s="9">
        <v>0</v>
      </c>
    </row>
    <row r="105" spans="1:21" x14ac:dyDescent="0.3">
      <c r="A105" s="36"/>
      <c r="B105" s="36"/>
      <c r="C105" s="29" t="s">
        <v>110</v>
      </c>
      <c r="D105" s="30"/>
      <c r="E105" s="31" t="s">
        <v>66</v>
      </c>
      <c r="F105" s="32"/>
      <c r="G105" s="9">
        <v>2</v>
      </c>
      <c r="H105" s="9">
        <v>2</v>
      </c>
      <c r="I105" s="9">
        <v>2</v>
      </c>
      <c r="J105" s="9">
        <v>2</v>
      </c>
      <c r="K105" s="9">
        <v>2</v>
      </c>
      <c r="L105" s="9">
        <v>2</v>
      </c>
      <c r="M105" s="9">
        <v>2</v>
      </c>
      <c r="N105" s="9">
        <v>2</v>
      </c>
      <c r="O105" s="9">
        <v>2</v>
      </c>
      <c r="P105" s="9">
        <v>2</v>
      </c>
      <c r="Q105" s="9">
        <v>2</v>
      </c>
      <c r="R105" s="9">
        <v>2</v>
      </c>
      <c r="S105" s="10">
        <v>0</v>
      </c>
      <c r="T105" s="9">
        <v>0</v>
      </c>
      <c r="U105" s="9">
        <v>0</v>
      </c>
    </row>
    <row r="106" spans="1:21" x14ac:dyDescent="0.3">
      <c r="A106" s="36"/>
      <c r="B106" s="36"/>
      <c r="C106" s="29" t="s">
        <v>111</v>
      </c>
      <c r="D106" s="30"/>
      <c r="E106" s="31" t="s">
        <v>66</v>
      </c>
      <c r="F106" s="32"/>
      <c r="G106" s="9">
        <v>2</v>
      </c>
      <c r="H106" s="9">
        <v>2</v>
      </c>
      <c r="I106" s="9">
        <v>2</v>
      </c>
      <c r="J106" s="9">
        <v>2</v>
      </c>
      <c r="K106" s="9">
        <v>2</v>
      </c>
      <c r="L106" s="9">
        <v>2</v>
      </c>
      <c r="M106" s="9">
        <v>2</v>
      </c>
      <c r="N106" s="9">
        <v>2</v>
      </c>
      <c r="O106" s="9">
        <v>2</v>
      </c>
      <c r="P106" s="9">
        <v>2</v>
      </c>
      <c r="Q106" s="9">
        <v>2</v>
      </c>
      <c r="R106" s="9">
        <v>2</v>
      </c>
      <c r="S106" s="9">
        <v>2</v>
      </c>
      <c r="T106" s="10">
        <v>0</v>
      </c>
      <c r="U106" s="9">
        <v>0</v>
      </c>
    </row>
    <row r="107" spans="1:21" x14ac:dyDescent="0.3">
      <c r="A107" s="36"/>
      <c r="B107" s="36"/>
      <c r="C107" s="29" t="s">
        <v>112</v>
      </c>
      <c r="D107" s="30"/>
      <c r="E107" s="31" t="s">
        <v>66</v>
      </c>
      <c r="F107" s="32"/>
      <c r="G107" s="9">
        <v>2</v>
      </c>
      <c r="H107" s="9">
        <v>2</v>
      </c>
      <c r="I107" s="9">
        <v>2</v>
      </c>
      <c r="J107" s="9">
        <v>2</v>
      </c>
      <c r="K107" s="9">
        <v>2</v>
      </c>
      <c r="L107" s="9">
        <v>2</v>
      </c>
      <c r="M107" s="9">
        <v>2</v>
      </c>
      <c r="N107" s="9">
        <v>2</v>
      </c>
      <c r="O107" s="9">
        <v>2</v>
      </c>
      <c r="P107" s="9">
        <v>2</v>
      </c>
      <c r="Q107" s="9">
        <v>2</v>
      </c>
      <c r="R107" s="9">
        <v>2</v>
      </c>
      <c r="S107" s="9">
        <v>2</v>
      </c>
      <c r="T107" s="10">
        <v>0</v>
      </c>
      <c r="U107" s="9">
        <v>0</v>
      </c>
    </row>
    <row r="108" spans="1:21" x14ac:dyDescent="0.3">
      <c r="A108" s="36"/>
      <c r="B108" s="36"/>
      <c r="C108" s="29" t="s">
        <v>113</v>
      </c>
      <c r="D108" s="30"/>
      <c r="E108" s="31" t="s">
        <v>66</v>
      </c>
      <c r="F108" s="32"/>
      <c r="G108" s="9">
        <v>2</v>
      </c>
      <c r="H108" s="9">
        <v>2</v>
      </c>
      <c r="I108" s="9">
        <v>2</v>
      </c>
      <c r="J108" s="9">
        <v>2</v>
      </c>
      <c r="K108" s="9">
        <v>2</v>
      </c>
      <c r="L108" s="9">
        <v>2</v>
      </c>
      <c r="M108" s="9">
        <v>2</v>
      </c>
      <c r="N108" s="9">
        <v>2</v>
      </c>
      <c r="O108" s="9">
        <v>2</v>
      </c>
      <c r="P108" s="9">
        <v>2</v>
      </c>
      <c r="Q108" s="9">
        <v>2</v>
      </c>
      <c r="R108" s="9">
        <v>2</v>
      </c>
      <c r="S108" s="9">
        <v>2</v>
      </c>
      <c r="T108" s="10">
        <v>0</v>
      </c>
      <c r="U108" s="9">
        <v>0</v>
      </c>
    </row>
    <row r="109" spans="1:21" x14ac:dyDescent="0.3">
      <c r="A109" s="36"/>
      <c r="B109" s="36"/>
      <c r="C109" s="29" t="s">
        <v>114</v>
      </c>
      <c r="D109" s="30"/>
      <c r="E109" s="31" t="s">
        <v>66</v>
      </c>
      <c r="F109" s="32"/>
      <c r="G109" s="9">
        <v>2</v>
      </c>
      <c r="H109" s="9">
        <v>2</v>
      </c>
      <c r="I109" s="9">
        <v>2</v>
      </c>
      <c r="J109" s="9">
        <v>2</v>
      </c>
      <c r="K109" s="9">
        <v>2</v>
      </c>
      <c r="L109" s="9">
        <v>2</v>
      </c>
      <c r="M109" s="9">
        <v>2</v>
      </c>
      <c r="N109" s="9">
        <v>2</v>
      </c>
      <c r="O109" s="9">
        <v>2</v>
      </c>
      <c r="P109" s="9">
        <v>2</v>
      </c>
      <c r="Q109" s="9">
        <v>2</v>
      </c>
      <c r="R109" s="9">
        <v>2</v>
      </c>
      <c r="S109" s="9">
        <v>2</v>
      </c>
      <c r="T109" s="10">
        <v>0</v>
      </c>
      <c r="U109" s="9">
        <v>0</v>
      </c>
    </row>
    <row r="110" spans="1:21" x14ac:dyDescent="0.3">
      <c r="A110" s="36"/>
      <c r="B110" s="36"/>
      <c r="C110" s="29" t="s">
        <v>115</v>
      </c>
      <c r="D110" s="30"/>
      <c r="E110" s="31" t="s">
        <v>66</v>
      </c>
      <c r="F110" s="32"/>
      <c r="G110" s="9">
        <v>2</v>
      </c>
      <c r="H110" s="9">
        <v>2</v>
      </c>
      <c r="I110" s="9">
        <v>2</v>
      </c>
      <c r="J110" s="9">
        <v>2</v>
      </c>
      <c r="K110" s="9">
        <v>2</v>
      </c>
      <c r="L110" s="9">
        <v>2</v>
      </c>
      <c r="M110" s="9">
        <v>2</v>
      </c>
      <c r="N110" s="9">
        <v>2</v>
      </c>
      <c r="O110" s="9">
        <v>2</v>
      </c>
      <c r="P110" s="9">
        <v>2</v>
      </c>
      <c r="Q110" s="9">
        <v>2</v>
      </c>
      <c r="R110" s="9">
        <v>2</v>
      </c>
      <c r="S110" s="9">
        <v>2</v>
      </c>
      <c r="T110" s="10">
        <v>0</v>
      </c>
      <c r="U110" s="9">
        <v>0</v>
      </c>
    </row>
    <row r="111" spans="1:21" x14ac:dyDescent="0.3">
      <c r="A111" s="36"/>
      <c r="B111" s="37"/>
      <c r="C111" s="29" t="s">
        <v>116</v>
      </c>
      <c r="D111" s="30"/>
      <c r="E111" s="31" t="s">
        <v>66</v>
      </c>
      <c r="F111" s="32"/>
      <c r="G111" s="9">
        <v>2</v>
      </c>
      <c r="H111" s="9">
        <v>2</v>
      </c>
      <c r="I111" s="9">
        <v>2</v>
      </c>
      <c r="J111" s="9">
        <v>2</v>
      </c>
      <c r="K111" s="9">
        <v>2</v>
      </c>
      <c r="L111" s="9">
        <v>2</v>
      </c>
      <c r="M111" s="9">
        <v>2</v>
      </c>
      <c r="N111" s="9">
        <v>2</v>
      </c>
      <c r="O111" s="9">
        <v>2</v>
      </c>
      <c r="P111" s="9">
        <v>2</v>
      </c>
      <c r="Q111" s="9">
        <v>2</v>
      </c>
      <c r="R111" s="9">
        <v>2</v>
      </c>
      <c r="S111" s="9">
        <v>2</v>
      </c>
      <c r="T111" s="9">
        <v>2</v>
      </c>
      <c r="U111" s="9">
        <v>0</v>
      </c>
    </row>
    <row r="112" spans="1:21" x14ac:dyDescent="0.3">
      <c r="A112" s="36"/>
      <c r="B112" s="35" t="s">
        <v>31</v>
      </c>
      <c r="C112" s="29" t="s">
        <v>29</v>
      </c>
      <c r="D112" s="30"/>
      <c r="E112" s="40" t="s">
        <v>44</v>
      </c>
      <c r="F112" s="41"/>
      <c r="G112" s="9">
        <v>5</v>
      </c>
      <c r="H112" s="9">
        <v>5</v>
      </c>
      <c r="I112" s="9">
        <v>5</v>
      </c>
      <c r="J112" s="9">
        <v>5</v>
      </c>
      <c r="K112" s="9">
        <v>5</v>
      </c>
      <c r="L112" s="9">
        <v>5</v>
      </c>
      <c r="M112" s="9">
        <v>5</v>
      </c>
      <c r="N112" s="9">
        <v>5</v>
      </c>
      <c r="O112" s="9">
        <v>5</v>
      </c>
      <c r="P112" s="9">
        <v>5</v>
      </c>
      <c r="Q112" s="9">
        <v>5</v>
      </c>
      <c r="R112" s="9">
        <v>5</v>
      </c>
      <c r="S112" s="9">
        <v>5</v>
      </c>
      <c r="T112" s="9">
        <v>5</v>
      </c>
      <c r="U112" s="10">
        <v>0</v>
      </c>
    </row>
    <row r="113" spans="1:21" x14ac:dyDescent="0.3">
      <c r="A113" s="36"/>
      <c r="B113" s="37"/>
      <c r="C113" s="29" t="s">
        <v>30</v>
      </c>
      <c r="D113" s="30"/>
      <c r="E113" s="40" t="s">
        <v>44</v>
      </c>
      <c r="F113" s="41"/>
      <c r="G113" s="9">
        <v>5</v>
      </c>
      <c r="H113" s="9">
        <v>5</v>
      </c>
      <c r="I113" s="9">
        <v>5</v>
      </c>
      <c r="J113" s="9">
        <v>5</v>
      </c>
      <c r="K113" s="9">
        <v>5</v>
      </c>
      <c r="L113" s="9">
        <v>5</v>
      </c>
      <c r="M113" s="9">
        <v>5</v>
      </c>
      <c r="N113" s="9">
        <v>5</v>
      </c>
      <c r="O113" s="9">
        <v>5</v>
      </c>
      <c r="P113" s="9">
        <v>5</v>
      </c>
      <c r="Q113" s="9">
        <v>5</v>
      </c>
      <c r="R113" s="9">
        <v>5</v>
      </c>
      <c r="S113" s="9">
        <v>5</v>
      </c>
      <c r="T113" s="9">
        <v>5</v>
      </c>
      <c r="U113" s="10">
        <v>0</v>
      </c>
    </row>
    <row r="114" spans="1:21" x14ac:dyDescent="0.3">
      <c r="A114" s="36"/>
      <c r="B114" s="51" t="s">
        <v>12</v>
      </c>
      <c r="C114" s="52"/>
      <c r="D114" s="53"/>
      <c r="E114" s="38" t="s">
        <v>11</v>
      </c>
      <c r="F114" s="39"/>
      <c r="G114" s="38">
        <f>SUM(G16:G113)</f>
        <v>180</v>
      </c>
      <c r="H114" s="39"/>
      <c r="I114" s="28">
        <f>SUM(I16:I113)</f>
        <v>177</v>
      </c>
      <c r="J114" s="28">
        <f>SUM(J16:J113)</f>
        <v>155</v>
      </c>
      <c r="K114" s="28">
        <f>SUM(K16:K113)</f>
        <v>148</v>
      </c>
      <c r="L114" s="28">
        <f>SUM(L16:L113)</f>
        <v>136</v>
      </c>
      <c r="M114" s="28">
        <f>SUM(M16:M113)</f>
        <v>132</v>
      </c>
      <c r="N114" s="28">
        <f>SUM(N16:N113)</f>
        <v>127</v>
      </c>
      <c r="O114" s="28">
        <f>SUM(O16:O113)-O47-O49</f>
        <v>116</v>
      </c>
      <c r="P114" s="28">
        <f>SUM(P16:P113)-P51-P60-P69+P55+P66+P71+P73</f>
        <v>66</v>
      </c>
      <c r="Q114" s="28">
        <f>SUM(Q16:Q113)-Q80-Q84+Q93</f>
        <v>38</v>
      </c>
      <c r="R114" s="28">
        <f>SUM(R16:R113)-R96</f>
        <v>28</v>
      </c>
      <c r="S114" s="28">
        <f>SUM(S16:S113)</f>
        <v>22</v>
      </c>
      <c r="T114" s="28">
        <f>SUM(T16:T113)</f>
        <v>12</v>
      </c>
      <c r="U114" s="9">
        <f>SUM(U16:U113)</f>
        <v>0</v>
      </c>
    </row>
    <row r="115" spans="1:21" x14ac:dyDescent="0.3">
      <c r="A115" s="37"/>
      <c r="B115" s="63"/>
      <c r="C115" s="60"/>
      <c r="D115" s="61"/>
      <c r="E115" s="38" t="s">
        <v>45</v>
      </c>
      <c r="F115" s="39"/>
      <c r="G115" s="38">
        <f>SUM(H16:H113)</f>
        <v>177</v>
      </c>
      <c r="H115" s="39"/>
      <c r="I115" s="28">
        <f>SUM(I16:I113)</f>
        <v>177</v>
      </c>
      <c r="J115" s="28">
        <f>SUM(J16:J113)</f>
        <v>155</v>
      </c>
      <c r="K115" s="28">
        <f>SUM(K16:K113)</f>
        <v>148</v>
      </c>
      <c r="L115" s="28">
        <f>SUM(L16:L113)</f>
        <v>136</v>
      </c>
      <c r="M115" s="28">
        <f>SUM(M16:M113)</f>
        <v>132</v>
      </c>
      <c r="N115" s="28">
        <f>SUM(N16:N113)</f>
        <v>127</v>
      </c>
      <c r="O115" s="28">
        <f>SUM(O16:O113)</f>
        <v>119</v>
      </c>
      <c r="P115" s="28">
        <f>SUM(P16:P113)</f>
        <v>64</v>
      </c>
      <c r="Q115" s="28">
        <f>SUM(Q16:Q113)</f>
        <v>39</v>
      </c>
      <c r="R115" s="28">
        <f>SUM(R16:R113)</f>
        <v>29</v>
      </c>
      <c r="S115" s="28">
        <f>SUM(S16:S113)</f>
        <v>22</v>
      </c>
      <c r="T115" s="28">
        <f>SUM(T16:T113)</f>
        <v>12</v>
      </c>
      <c r="U115" s="9">
        <f>SUM(U16:U113)</f>
        <v>0</v>
      </c>
    </row>
    <row r="116" spans="1:21" x14ac:dyDescent="0.3">
      <c r="B116" s="54"/>
      <c r="C116" s="62"/>
      <c r="D116" s="62"/>
    </row>
  </sheetData>
  <mergeCells count="218">
    <mergeCell ref="C66:D66"/>
    <mergeCell ref="E66:F66"/>
    <mergeCell ref="C47:D47"/>
    <mergeCell ref="E47:F47"/>
    <mergeCell ref="C49:D49"/>
    <mergeCell ref="E49:F49"/>
    <mergeCell ref="C51:D51"/>
    <mergeCell ref="E51:F51"/>
    <mergeCell ref="C25:D25"/>
    <mergeCell ref="C24:D24"/>
    <mergeCell ref="C23:D23"/>
    <mergeCell ref="C21:D21"/>
    <mergeCell ref="C20:D20"/>
    <mergeCell ref="C19:D19"/>
    <mergeCell ref="B18:D18"/>
    <mergeCell ref="B17:D17"/>
    <mergeCell ref="B16:D16"/>
    <mergeCell ref="C104:D104"/>
    <mergeCell ref="E104:F104"/>
    <mergeCell ref="C105:D105"/>
    <mergeCell ref="E105:F105"/>
    <mergeCell ref="C106:D106"/>
    <mergeCell ref="E106:F106"/>
    <mergeCell ref="B114:D115"/>
    <mergeCell ref="G114:H114"/>
    <mergeCell ref="B88:B100"/>
    <mergeCell ref="C93:D93"/>
    <mergeCell ref="E93:F93"/>
    <mergeCell ref="C96:D96"/>
    <mergeCell ref="E96:F96"/>
    <mergeCell ref="C97:D97"/>
    <mergeCell ref="C77:D77"/>
    <mergeCell ref="E77:F77"/>
    <mergeCell ref="C78:D78"/>
    <mergeCell ref="C79:D79"/>
    <mergeCell ref="C89:D89"/>
    <mergeCell ref="E89:F89"/>
    <mergeCell ref="C90:D90"/>
    <mergeCell ref="E90:F90"/>
    <mergeCell ref="C91:D91"/>
    <mergeCell ref="E91:F91"/>
    <mergeCell ref="C69:D69"/>
    <mergeCell ref="E69:F69"/>
    <mergeCell ref="C71:D71"/>
    <mergeCell ref="E71:F71"/>
    <mergeCell ref="C73:D73"/>
    <mergeCell ref="E73:F73"/>
    <mergeCell ref="C80:D80"/>
    <mergeCell ref="E80:F80"/>
    <mergeCell ref="C84:D84"/>
    <mergeCell ref="E84:F84"/>
    <mergeCell ref="C95:D95"/>
    <mergeCell ref="C94:D94"/>
    <mergeCell ref="E87:F87"/>
    <mergeCell ref="C92:D92"/>
    <mergeCell ref="E86:F86"/>
    <mergeCell ref="C88:D88"/>
    <mergeCell ref="C87:D87"/>
    <mergeCell ref="E83:F83"/>
    <mergeCell ref="C86:D86"/>
    <mergeCell ref="E82:F82"/>
    <mergeCell ref="C85:D85"/>
    <mergeCell ref="C83:D83"/>
    <mergeCell ref="E79:F79"/>
    <mergeCell ref="C82:D82"/>
    <mergeCell ref="E78:F78"/>
    <mergeCell ref="C81:D81"/>
    <mergeCell ref="E76:F76"/>
    <mergeCell ref="C70:D70"/>
    <mergeCell ref="E65:F65"/>
    <mergeCell ref="E67:F67"/>
    <mergeCell ref="C27:D27"/>
    <mergeCell ref="C28:D28"/>
    <mergeCell ref="E27:F27"/>
    <mergeCell ref="E28:F28"/>
    <mergeCell ref="C36:D36"/>
    <mergeCell ref="E36:F36"/>
    <mergeCell ref="C34:D34"/>
    <mergeCell ref="E34:F34"/>
    <mergeCell ref="C35:D35"/>
    <mergeCell ref="E35:F35"/>
    <mergeCell ref="E33:F33"/>
    <mergeCell ref="C31:D31"/>
    <mergeCell ref="C30:D30"/>
    <mergeCell ref="C52:D52"/>
    <mergeCell ref="C63:D63"/>
    <mergeCell ref="C64:D64"/>
    <mergeCell ref="C67:D67"/>
    <mergeCell ref="C72:D72"/>
    <mergeCell ref="E70:F70"/>
    <mergeCell ref="E72:F72"/>
    <mergeCell ref="E110:F110"/>
    <mergeCell ref="E100:F100"/>
    <mergeCell ref="E88:F88"/>
    <mergeCell ref="E81:F81"/>
    <mergeCell ref="E75:F75"/>
    <mergeCell ref="C102:D102"/>
    <mergeCell ref="E85:F85"/>
    <mergeCell ref="C111:D111"/>
    <mergeCell ref="C112:D112"/>
    <mergeCell ref="E97:F97"/>
    <mergeCell ref="E98:F98"/>
    <mergeCell ref="C59:D59"/>
    <mergeCell ref="C61:D61"/>
    <mergeCell ref="E59:F59"/>
    <mergeCell ref="G115:H115"/>
    <mergeCell ref="B43:B74"/>
    <mergeCell ref="C116:D116"/>
    <mergeCell ref="C54:D54"/>
    <mergeCell ref="C56:D56"/>
    <mergeCell ref="C57:D57"/>
    <mergeCell ref="C45:D45"/>
    <mergeCell ref="C48:D48"/>
    <mergeCell ref="C46:D46"/>
    <mergeCell ref="C50:D50"/>
    <mergeCell ref="C74:D74"/>
    <mergeCell ref="C75:D75"/>
    <mergeCell ref="C58:D58"/>
    <mergeCell ref="C62:D62"/>
    <mergeCell ref="E54:F54"/>
    <mergeCell ref="E56:F56"/>
    <mergeCell ref="E109:F109"/>
    <mergeCell ref="A1:B1"/>
    <mergeCell ref="A2:B2"/>
    <mergeCell ref="A3:B3"/>
    <mergeCell ref="A4:B4"/>
    <mergeCell ref="B6:E6"/>
    <mergeCell ref="B13:C13"/>
    <mergeCell ref="C15:D15"/>
    <mergeCell ref="E15:F15"/>
    <mergeCell ref="B19:B30"/>
    <mergeCell ref="E32:F32"/>
    <mergeCell ref="E50:F50"/>
    <mergeCell ref="E37:F37"/>
    <mergeCell ref="E38:F38"/>
    <mergeCell ref="E39:F39"/>
    <mergeCell ref="C42:D42"/>
    <mergeCell ref="C43:D43"/>
    <mergeCell ref="C44:D44"/>
    <mergeCell ref="C32:D32"/>
    <mergeCell ref="C33:D33"/>
    <mergeCell ref="C37:D37"/>
    <mergeCell ref="C38:D38"/>
    <mergeCell ref="C39:D39"/>
    <mergeCell ref="E42:F42"/>
    <mergeCell ref="C29:D29"/>
    <mergeCell ref="C26:D26"/>
    <mergeCell ref="C40:D40"/>
    <mergeCell ref="C41:D41"/>
    <mergeCell ref="B31:B42"/>
    <mergeCell ref="C22:D22"/>
    <mergeCell ref="E22:F22"/>
    <mergeCell ref="E61:F61"/>
    <mergeCell ref="C65:D65"/>
    <mergeCell ref="E57:F57"/>
    <mergeCell ref="E53:F53"/>
    <mergeCell ref="E58:F58"/>
    <mergeCell ref="E62:F62"/>
    <mergeCell ref="E63:F63"/>
    <mergeCell ref="E64:F64"/>
    <mergeCell ref="C53:D53"/>
    <mergeCell ref="E68:F68"/>
    <mergeCell ref="C68:D68"/>
    <mergeCell ref="C60:D60"/>
    <mergeCell ref="E60:F60"/>
    <mergeCell ref="C55:D55"/>
    <mergeCell ref="E55:F55"/>
    <mergeCell ref="E52:F52"/>
    <mergeCell ref="E16:F16"/>
    <mergeCell ref="E17:F17"/>
    <mergeCell ref="E18:F18"/>
    <mergeCell ref="E19:F19"/>
    <mergeCell ref="E20:F20"/>
    <mergeCell ref="E21:F21"/>
    <mergeCell ref="E23:F23"/>
    <mergeCell ref="E24:F24"/>
    <mergeCell ref="E29:F29"/>
    <mergeCell ref="E26:F26"/>
    <mergeCell ref="E40:F40"/>
    <mergeCell ref="E41:F41"/>
    <mergeCell ref="E25:F25"/>
    <mergeCell ref="E30:F30"/>
    <mergeCell ref="E31:F31"/>
    <mergeCell ref="A16:A115"/>
    <mergeCell ref="E111:F111"/>
    <mergeCell ref="E112:F112"/>
    <mergeCell ref="E113:F113"/>
    <mergeCell ref="E114:F114"/>
    <mergeCell ref="E115:F115"/>
    <mergeCell ref="E101:F101"/>
    <mergeCell ref="E102:F102"/>
    <mergeCell ref="E103:F103"/>
    <mergeCell ref="E107:F107"/>
    <mergeCell ref="E108:F108"/>
    <mergeCell ref="E92:F92"/>
    <mergeCell ref="E94:F94"/>
    <mergeCell ref="E95:F95"/>
    <mergeCell ref="E43:F43"/>
    <mergeCell ref="E44:F44"/>
    <mergeCell ref="E45:F45"/>
    <mergeCell ref="E46:F46"/>
    <mergeCell ref="E48:F48"/>
    <mergeCell ref="E74:F74"/>
    <mergeCell ref="E99:F99"/>
    <mergeCell ref="B101:B111"/>
    <mergeCell ref="B112:B113"/>
    <mergeCell ref="C76:D76"/>
    <mergeCell ref="C98:D98"/>
    <mergeCell ref="C99:D99"/>
    <mergeCell ref="C113:D113"/>
    <mergeCell ref="C110:D110"/>
    <mergeCell ref="C109:D109"/>
    <mergeCell ref="C100:D100"/>
    <mergeCell ref="C103:D103"/>
    <mergeCell ref="C107:D107"/>
    <mergeCell ref="C108:D108"/>
    <mergeCell ref="B75:B87"/>
    <mergeCell ref="C101:D10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8"/>
  <sheetViews>
    <sheetView topLeftCell="A4" zoomScale="64" zoomScaleNormal="70" workbookViewId="0">
      <selection activeCell="B7" sqref="B7"/>
    </sheetView>
  </sheetViews>
  <sheetFormatPr defaultColWidth="9.109375" defaultRowHeight="16.8" x14ac:dyDescent="0.3"/>
  <cols>
    <col min="1" max="1" width="16" style="1" customWidth="1"/>
    <col min="2" max="2" width="34.77734375" style="1" customWidth="1"/>
    <col min="3" max="3" width="55.44140625" style="1" customWidth="1"/>
    <col min="4" max="5" width="11" style="1" customWidth="1"/>
    <col min="6" max="6" width="22.77734375" style="1" customWidth="1"/>
    <col min="7" max="8" width="6.109375" style="1" customWidth="1"/>
    <col min="9" max="9" width="6" style="1" customWidth="1"/>
    <col min="10" max="13" width="6.109375" style="1" customWidth="1"/>
    <col min="14" max="14" width="6" style="1" customWidth="1"/>
    <col min="15" max="15" width="6.109375" style="1" customWidth="1"/>
    <col min="16" max="20" width="6" style="1" customWidth="1"/>
    <col min="21" max="23" width="6.109375" style="1" customWidth="1"/>
    <col min="24" max="24" width="6" style="1" customWidth="1"/>
    <col min="25" max="25" width="6.109375" style="1" customWidth="1"/>
    <col min="26" max="26" width="6" style="1" customWidth="1"/>
    <col min="27" max="27" width="5.88671875" style="1" customWidth="1"/>
    <col min="28" max="28" width="6.109375" style="1" customWidth="1"/>
    <col min="29" max="31" width="6" style="1" customWidth="1"/>
    <col min="32" max="16384" width="9.109375" style="1"/>
  </cols>
  <sheetData>
    <row r="1" spans="1:30" ht="33.6" x14ac:dyDescent="0.3">
      <c r="A1" s="64" t="s">
        <v>3</v>
      </c>
      <c r="B1" s="65"/>
      <c r="C1" s="55" t="s">
        <v>59</v>
      </c>
      <c r="D1" s="54"/>
      <c r="E1" s="10"/>
      <c r="F1" s="56" t="s">
        <v>51</v>
      </c>
    </row>
    <row r="2" spans="1:30" x14ac:dyDescent="0.3">
      <c r="A2" s="64" t="s">
        <v>2</v>
      </c>
      <c r="B2" s="65"/>
      <c r="C2" s="9" t="s">
        <v>32</v>
      </c>
      <c r="D2" s="54"/>
      <c r="E2" s="12"/>
      <c r="F2" s="57" t="s">
        <v>50</v>
      </c>
    </row>
    <row r="3" spans="1:30" x14ac:dyDescent="0.3">
      <c r="A3" s="64" t="s">
        <v>1</v>
      </c>
      <c r="B3" s="65"/>
      <c r="C3" s="58">
        <v>46057</v>
      </c>
      <c r="D3" s="54"/>
      <c r="E3" s="11"/>
      <c r="F3" s="59" t="s">
        <v>49</v>
      </c>
    </row>
    <row r="4" spans="1:30" ht="17.25" customHeight="1" x14ac:dyDescent="0.3">
      <c r="A4" s="64" t="s">
        <v>0</v>
      </c>
      <c r="B4" s="65"/>
      <c r="C4" s="58" t="s">
        <v>137</v>
      </c>
      <c r="D4" s="54"/>
      <c r="E4" s="54"/>
      <c r="F4" s="54"/>
    </row>
    <row r="5" spans="1:30" ht="16.5" customHeight="1" thickBot="1" x14ac:dyDescent="0.35"/>
    <row r="6" spans="1:30" ht="17.399999999999999" thickBot="1" x14ac:dyDescent="0.35">
      <c r="B6" s="33" t="s">
        <v>35</v>
      </c>
      <c r="C6" s="33"/>
      <c r="D6" s="33"/>
      <c r="E6" s="33"/>
    </row>
    <row r="7" spans="1:30" ht="17.399999999999999" thickBot="1" x14ac:dyDescent="0.35">
      <c r="B7" s="4" t="s">
        <v>6</v>
      </c>
      <c r="C7" s="4" t="s">
        <v>46</v>
      </c>
      <c r="D7" s="4" t="s">
        <v>11</v>
      </c>
      <c r="E7" s="4" t="s">
        <v>45</v>
      </c>
    </row>
    <row r="8" spans="1:30" ht="17.399999999999999" thickBot="1" x14ac:dyDescent="0.35">
      <c r="B8" s="5">
        <v>1</v>
      </c>
      <c r="C8" s="2" t="s">
        <v>136</v>
      </c>
      <c r="D8" s="2">
        <f ca="1">SUMIF($E$16:$F$105,"Thành",$G$16:$G$105)
+SUMIF($E$16:$F$105,"All team",$G$16:$G$105)/5
+SUMIF($E$16:$F$105,"Thành, Phương, Việt, Tấn",$G$16:$G$105)/4</f>
        <v>58.25</v>
      </c>
      <c r="E8" s="2">
        <f ca="1">SUMIF($E$16:$F$105,"Thành",$H$16:$H$105)
+SUMIF($E$16:$F$105,"All team",$H$16:$H$105)/5
+SUMIF($E$16:$F$105,"Thành, Phương, Việt, Tấn",$H$16:$H$105)/4</f>
        <v>59.25</v>
      </c>
    </row>
    <row r="9" spans="1:30" ht="17.399999999999999" thickBot="1" x14ac:dyDescent="0.35">
      <c r="B9" s="5">
        <v>2</v>
      </c>
      <c r="C9" s="2" t="s">
        <v>61</v>
      </c>
      <c r="D9" s="2">
        <f ca="1">SUMIF($E$16:$F$105,"Nữ",$G$16:$G$105)
+SUMIF($E$16:$F$105,"All team",$G$16:$G$105)/5</f>
        <v>58</v>
      </c>
      <c r="E9" s="2">
        <f ca="1">SUMIF($E$16:$F$105,"Nữ",$H$16:$H$105)
+SUMIF($E$16:$F$105,"All team",$H$16:$H$105)/5</f>
        <v>56</v>
      </c>
    </row>
    <row r="10" spans="1:30" ht="17.399999999999999" thickBot="1" x14ac:dyDescent="0.35">
      <c r="B10" s="5">
        <v>3</v>
      </c>
      <c r="C10" s="2" t="s">
        <v>62</v>
      </c>
      <c r="D10" s="2">
        <f ca="1">SUMIF($E$16:$F$105,"Phương",$G$16:$G$105)
+SUMIF($E$16:$F$105,"All team",$G$16:$G$105)/5
+SUMIF($E$16:$F$105,"Thành, Phương, Việt, Tấn",$G$16:$G$105)/4</f>
        <v>50.25</v>
      </c>
      <c r="E10" s="2">
        <f ca="1">SUMIF($E$16:$F$105,"Phương",$H$16:$H$105)
+SUMIF($E$16:$F$105,"All team",$H$16:$H$105)/5
+SUMIF($E$16:$F$105,"Thành, Phương, Việt, Tấn",$H$16:$H$105)/4</f>
        <v>49.25</v>
      </c>
    </row>
    <row r="11" spans="1:30" ht="17.399999999999999" thickBot="1" x14ac:dyDescent="0.35">
      <c r="B11" s="5">
        <v>4</v>
      </c>
      <c r="C11" s="2" t="s">
        <v>63</v>
      </c>
      <c r="D11" s="2">
        <f ca="1">SUMIF($E$16:$F$105,"Tấn",$G$16:$G$105)
+SUMIF($E$16:$F$105,"All team",$G$16:$G$105)/5
+SUMIF($E$16:$F$105,"Thành, Phương, Việt, Tấn",$G$16:$G$105)/4</f>
        <v>54.25</v>
      </c>
      <c r="E11" s="2">
        <f ca="1">SUMIF($E$16:$F$105,"Tấn",$H$16:$H$105)
+SUMIF($E$16:$F$105,"All team",$H$16:$H$105)/5
+SUMIF($E$16:$F$105,"Thành, Phương, Việt, Tấn",$H$16:$H$105)/4</f>
        <v>54.25</v>
      </c>
    </row>
    <row r="12" spans="1:30" ht="17.399999999999999" thickBot="1" x14ac:dyDescent="0.35">
      <c r="B12" s="5">
        <v>5</v>
      </c>
      <c r="C12" s="2" t="s">
        <v>64</v>
      </c>
      <c r="D12" s="2">
        <f ca="1">SUMIF($E$16:$F$105,"Việt",$G$16:$G$105)
+SUMIF($E$16:$F$105,"All team",$G$16:$G$105)/5
+SUMIF($E$16:$F$105,"Thành, Phương, Việt, Tấn",$G$16:$G$105)/4</f>
        <v>22.25</v>
      </c>
      <c r="E12" s="2">
        <f ca="1">SUMIF($E$16:$F$105,"Việt",$H$16:$H$105)
+SUMIF($E$16:$F$105,"All team",$H$16:$H$105)/5
+SUMIF($E$16:$F$105,"Thành, Phương, Việt, Tấn",$H$16:$H$105)/4</f>
        <v>22.25</v>
      </c>
    </row>
    <row r="13" spans="1:30" ht="17.399999999999999" thickBot="1" x14ac:dyDescent="0.35">
      <c r="B13" s="33" t="s">
        <v>12</v>
      </c>
      <c r="C13" s="33"/>
      <c r="D13" s="3">
        <f ca="1">SUM(D8:D12)</f>
        <v>243</v>
      </c>
      <c r="E13" s="3">
        <f ca="1">SUM(E8:E12)</f>
        <v>241</v>
      </c>
    </row>
    <row r="15" spans="1:30" ht="62.25" customHeight="1" x14ac:dyDescent="0.3">
      <c r="A15" s="6" t="s">
        <v>7</v>
      </c>
      <c r="B15" s="6" t="s">
        <v>8</v>
      </c>
      <c r="C15" s="34" t="s">
        <v>9</v>
      </c>
      <c r="D15" s="34"/>
      <c r="E15" s="34" t="s">
        <v>10</v>
      </c>
      <c r="F15" s="34"/>
      <c r="G15" s="7" t="s">
        <v>11</v>
      </c>
      <c r="H15" s="7" t="s">
        <v>45</v>
      </c>
      <c r="I15" s="8">
        <v>46114</v>
      </c>
      <c r="J15" s="8">
        <v>46115</v>
      </c>
      <c r="K15" s="8">
        <v>46116</v>
      </c>
      <c r="L15" s="8">
        <v>46117</v>
      </c>
      <c r="M15" s="8">
        <v>46118</v>
      </c>
      <c r="N15" s="8">
        <v>46119</v>
      </c>
      <c r="O15" s="8">
        <v>46120</v>
      </c>
      <c r="P15" s="8">
        <v>46121</v>
      </c>
      <c r="Q15" s="8">
        <v>46122</v>
      </c>
      <c r="R15" s="8">
        <v>46123</v>
      </c>
      <c r="S15" s="8">
        <v>46124</v>
      </c>
      <c r="T15" s="8">
        <v>46125</v>
      </c>
      <c r="U15" s="8">
        <v>46126</v>
      </c>
      <c r="V15" s="8">
        <v>46127</v>
      </c>
      <c r="W15" s="8">
        <v>46128</v>
      </c>
      <c r="X15" s="8">
        <v>46129</v>
      </c>
      <c r="Y15" s="8">
        <v>46130</v>
      </c>
      <c r="Z15" s="8">
        <v>46131</v>
      </c>
      <c r="AA15" s="8">
        <v>46132</v>
      </c>
      <c r="AB15" s="8">
        <v>46133</v>
      </c>
      <c r="AC15" s="8">
        <v>46134</v>
      </c>
      <c r="AD15" s="8">
        <v>46135</v>
      </c>
    </row>
    <row r="16" spans="1:30" x14ac:dyDescent="0.3">
      <c r="A16" s="35" t="s">
        <v>32</v>
      </c>
      <c r="B16" s="29" t="s">
        <v>13</v>
      </c>
      <c r="C16" s="42"/>
      <c r="D16" s="30"/>
      <c r="E16" s="31" t="s">
        <v>44</v>
      </c>
      <c r="F16" s="32"/>
      <c r="G16" s="9">
        <v>5</v>
      </c>
      <c r="H16" s="9">
        <v>5</v>
      </c>
      <c r="I16" s="9">
        <v>5</v>
      </c>
      <c r="J16" s="10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</row>
    <row r="17" spans="1:30" x14ac:dyDescent="0.3">
      <c r="A17" s="36"/>
      <c r="B17" s="29" t="s">
        <v>39</v>
      </c>
      <c r="C17" s="42"/>
      <c r="D17" s="30"/>
      <c r="E17" s="31" t="s">
        <v>65</v>
      </c>
      <c r="F17" s="32"/>
      <c r="G17" s="9">
        <v>5</v>
      </c>
      <c r="H17" s="9">
        <v>5</v>
      </c>
      <c r="I17" s="9">
        <v>5</v>
      </c>
      <c r="J17" s="10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</row>
    <row r="18" spans="1:30" x14ac:dyDescent="0.3">
      <c r="A18" s="36"/>
      <c r="B18" s="29" t="s">
        <v>15</v>
      </c>
      <c r="C18" s="42"/>
      <c r="D18" s="30"/>
      <c r="E18" s="31" t="s">
        <v>66</v>
      </c>
      <c r="F18" s="32"/>
      <c r="G18" s="9">
        <v>1</v>
      </c>
      <c r="H18" s="9">
        <v>1</v>
      </c>
      <c r="I18" s="9">
        <v>1</v>
      </c>
      <c r="J18" s="10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</row>
    <row r="19" spans="1:30" x14ac:dyDescent="0.3">
      <c r="A19" s="36"/>
      <c r="B19" s="35" t="s">
        <v>17</v>
      </c>
      <c r="C19" s="29" t="s">
        <v>138</v>
      </c>
      <c r="D19" s="30"/>
      <c r="E19" s="31" t="s">
        <v>66</v>
      </c>
      <c r="F19" s="32"/>
      <c r="G19" s="9">
        <v>1</v>
      </c>
      <c r="H19" s="9">
        <v>1</v>
      </c>
      <c r="I19" s="9">
        <v>1</v>
      </c>
      <c r="J19" s="10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</row>
    <row r="20" spans="1:30" x14ac:dyDescent="0.3">
      <c r="A20" s="36"/>
      <c r="B20" s="36"/>
      <c r="C20" s="29" t="s">
        <v>139</v>
      </c>
      <c r="D20" s="30"/>
      <c r="E20" s="31" t="s">
        <v>66</v>
      </c>
      <c r="F20" s="32"/>
      <c r="G20" s="9">
        <v>1</v>
      </c>
      <c r="H20" s="9">
        <v>1</v>
      </c>
      <c r="I20" s="9">
        <v>1</v>
      </c>
      <c r="J20" s="10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</row>
    <row r="21" spans="1:30" x14ac:dyDescent="0.3">
      <c r="A21" s="36"/>
      <c r="B21" s="36"/>
      <c r="C21" s="29" t="s">
        <v>140</v>
      </c>
      <c r="D21" s="30"/>
      <c r="E21" s="31" t="s">
        <v>66</v>
      </c>
      <c r="F21" s="32"/>
      <c r="G21" s="9">
        <v>1</v>
      </c>
      <c r="H21" s="9">
        <v>1</v>
      </c>
      <c r="I21" s="9">
        <v>1</v>
      </c>
      <c r="J21" s="10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</row>
    <row r="22" spans="1:30" x14ac:dyDescent="0.3">
      <c r="A22" s="36"/>
      <c r="B22" s="36"/>
      <c r="C22" s="29" t="s">
        <v>141</v>
      </c>
      <c r="D22" s="30"/>
      <c r="E22" s="31" t="s">
        <v>66</v>
      </c>
      <c r="F22" s="32"/>
      <c r="G22" s="9">
        <v>2</v>
      </c>
      <c r="H22" s="9">
        <v>1</v>
      </c>
      <c r="I22" s="9">
        <v>1</v>
      </c>
      <c r="J22" s="9">
        <v>1</v>
      </c>
      <c r="K22" s="10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</row>
    <row r="23" spans="1:30" x14ac:dyDescent="0.3">
      <c r="A23" s="36"/>
      <c r="B23" s="36"/>
      <c r="C23" s="25"/>
      <c r="D23" s="26"/>
      <c r="E23" s="23"/>
      <c r="F23" s="24"/>
      <c r="G23" s="9"/>
      <c r="H23" s="9"/>
      <c r="I23" s="9"/>
      <c r="J23" s="9"/>
      <c r="K23" s="12">
        <v>1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3">
      <c r="A24" s="36"/>
      <c r="B24" s="36"/>
      <c r="C24" s="29" t="s">
        <v>142</v>
      </c>
      <c r="D24" s="30"/>
      <c r="E24" s="31" t="s">
        <v>66</v>
      </c>
      <c r="F24" s="32"/>
      <c r="G24" s="9">
        <v>1</v>
      </c>
      <c r="H24" s="9">
        <v>1</v>
      </c>
      <c r="I24" s="9">
        <v>1</v>
      </c>
      <c r="J24" s="9">
        <v>1</v>
      </c>
      <c r="K24" s="10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</row>
    <row r="25" spans="1:30" x14ac:dyDescent="0.3">
      <c r="A25" s="36"/>
      <c r="B25" s="36"/>
      <c r="C25" s="29" t="s">
        <v>143</v>
      </c>
      <c r="D25" s="30"/>
      <c r="E25" s="31" t="s">
        <v>66</v>
      </c>
      <c r="F25" s="32"/>
      <c r="G25" s="9">
        <v>1</v>
      </c>
      <c r="H25" s="9">
        <v>1</v>
      </c>
      <c r="I25" s="9">
        <v>1</v>
      </c>
      <c r="J25" s="9">
        <v>1</v>
      </c>
      <c r="K25" s="10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</row>
    <row r="26" spans="1:30" x14ac:dyDescent="0.3">
      <c r="A26" s="36"/>
      <c r="B26" s="36"/>
      <c r="C26" s="29" t="s">
        <v>144</v>
      </c>
      <c r="D26" s="30"/>
      <c r="E26" s="31" t="s">
        <v>66</v>
      </c>
      <c r="F26" s="32"/>
      <c r="G26" s="9">
        <v>1</v>
      </c>
      <c r="H26" s="9">
        <v>1</v>
      </c>
      <c r="I26" s="9">
        <v>1</v>
      </c>
      <c r="J26" s="9">
        <v>1</v>
      </c>
      <c r="K26" s="10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</row>
    <row r="27" spans="1:30" x14ac:dyDescent="0.3">
      <c r="A27" s="36"/>
      <c r="B27" s="36"/>
      <c r="C27" s="29" t="s">
        <v>145</v>
      </c>
      <c r="D27" s="30"/>
      <c r="E27" s="31" t="s">
        <v>66</v>
      </c>
      <c r="F27" s="32"/>
      <c r="G27" s="9">
        <v>1</v>
      </c>
      <c r="H27" s="9">
        <v>1</v>
      </c>
      <c r="I27" s="9">
        <v>1</v>
      </c>
      <c r="J27" s="9">
        <v>1</v>
      </c>
      <c r="K27" s="9">
        <v>1</v>
      </c>
      <c r="L27" s="10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</row>
    <row r="28" spans="1:30" x14ac:dyDescent="0.3">
      <c r="A28" s="36"/>
      <c r="B28" s="36"/>
      <c r="C28" s="29" t="s">
        <v>146</v>
      </c>
      <c r="D28" s="30"/>
      <c r="E28" s="31" t="s">
        <v>66</v>
      </c>
      <c r="F28" s="32"/>
      <c r="G28" s="9">
        <v>1</v>
      </c>
      <c r="H28" s="9">
        <v>1</v>
      </c>
      <c r="I28" s="9">
        <v>1</v>
      </c>
      <c r="J28" s="9">
        <v>1</v>
      </c>
      <c r="K28" s="9">
        <v>1</v>
      </c>
      <c r="L28" s="10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</row>
    <row r="29" spans="1:30" x14ac:dyDescent="0.3">
      <c r="A29" s="36"/>
      <c r="B29" s="36"/>
      <c r="C29" s="29" t="s">
        <v>147</v>
      </c>
      <c r="D29" s="30"/>
      <c r="E29" s="31" t="s">
        <v>66</v>
      </c>
      <c r="F29" s="32"/>
      <c r="G29" s="9">
        <v>1</v>
      </c>
      <c r="H29" s="9">
        <v>1</v>
      </c>
      <c r="I29" s="9">
        <v>1</v>
      </c>
      <c r="J29" s="9">
        <v>1</v>
      </c>
      <c r="K29" s="9">
        <v>1</v>
      </c>
      <c r="L29" s="10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</row>
    <row r="30" spans="1:30" x14ac:dyDescent="0.3">
      <c r="A30" s="36"/>
      <c r="B30" s="36"/>
      <c r="C30" s="29" t="s">
        <v>41</v>
      </c>
      <c r="D30" s="30"/>
      <c r="E30" s="31" t="s">
        <v>44</v>
      </c>
      <c r="F30" s="32"/>
      <c r="G30" s="9">
        <v>5</v>
      </c>
      <c r="H30" s="9">
        <v>5</v>
      </c>
      <c r="I30" s="9">
        <v>5</v>
      </c>
      <c r="J30" s="9">
        <v>5</v>
      </c>
      <c r="K30" s="9">
        <v>5</v>
      </c>
      <c r="L30" s="10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</row>
    <row r="31" spans="1:30" x14ac:dyDescent="0.3">
      <c r="A31" s="36"/>
      <c r="B31" s="35" t="s">
        <v>21</v>
      </c>
      <c r="C31" s="29" t="s">
        <v>148</v>
      </c>
      <c r="D31" s="30"/>
      <c r="E31" s="31" t="s">
        <v>86</v>
      </c>
      <c r="F31" s="32"/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1</v>
      </c>
      <c r="M31" s="10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</row>
    <row r="32" spans="1:30" x14ac:dyDescent="0.3">
      <c r="A32" s="36"/>
      <c r="B32" s="36"/>
      <c r="C32" s="29" t="s">
        <v>149</v>
      </c>
      <c r="D32" s="30"/>
      <c r="E32" s="31" t="s">
        <v>85</v>
      </c>
      <c r="F32" s="32"/>
      <c r="G32" s="9">
        <v>1</v>
      </c>
      <c r="H32" s="9">
        <v>1</v>
      </c>
      <c r="I32" s="9">
        <v>1</v>
      </c>
      <c r="J32" s="9">
        <v>1</v>
      </c>
      <c r="K32" s="9">
        <v>1</v>
      </c>
      <c r="L32" s="9">
        <v>1</v>
      </c>
      <c r="M32" s="10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</row>
    <row r="33" spans="1:30" x14ac:dyDescent="0.3">
      <c r="A33" s="36"/>
      <c r="B33" s="36"/>
      <c r="C33" s="29" t="s">
        <v>150</v>
      </c>
      <c r="D33" s="30"/>
      <c r="E33" s="31" t="s">
        <v>85</v>
      </c>
      <c r="F33" s="32"/>
      <c r="G33" s="9">
        <v>1</v>
      </c>
      <c r="H33" s="9">
        <v>1</v>
      </c>
      <c r="I33" s="9">
        <v>1</v>
      </c>
      <c r="J33" s="9">
        <v>1</v>
      </c>
      <c r="K33" s="9">
        <v>1</v>
      </c>
      <c r="L33" s="9">
        <v>1</v>
      </c>
      <c r="M33" s="10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</row>
    <row r="34" spans="1:30" x14ac:dyDescent="0.3">
      <c r="A34" s="36"/>
      <c r="B34" s="36"/>
      <c r="C34" s="29" t="s">
        <v>151</v>
      </c>
      <c r="D34" s="30"/>
      <c r="E34" s="31" t="s">
        <v>54</v>
      </c>
      <c r="F34" s="32"/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  <c r="M34" s="10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</row>
    <row r="35" spans="1:30" x14ac:dyDescent="0.3">
      <c r="A35" s="36"/>
      <c r="B35" s="36"/>
      <c r="C35" s="29" t="s">
        <v>152</v>
      </c>
      <c r="D35" s="30"/>
      <c r="E35" s="31" t="s">
        <v>54</v>
      </c>
      <c r="F35" s="32"/>
      <c r="G35" s="9">
        <v>1</v>
      </c>
      <c r="H35" s="9">
        <v>1</v>
      </c>
      <c r="I35" s="9">
        <v>1</v>
      </c>
      <c r="J35" s="9">
        <v>1</v>
      </c>
      <c r="K35" s="9">
        <v>1</v>
      </c>
      <c r="L35" s="9">
        <v>1</v>
      </c>
      <c r="M35" s="10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</row>
    <row r="36" spans="1:30" ht="18.600000000000001" customHeight="1" x14ac:dyDescent="0.3">
      <c r="A36" s="36"/>
      <c r="B36" s="36"/>
      <c r="C36" s="29" t="s">
        <v>153</v>
      </c>
      <c r="D36" s="30"/>
      <c r="E36" s="31" t="s">
        <v>56</v>
      </c>
      <c r="F36" s="32"/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  <c r="M36" s="10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</row>
    <row r="37" spans="1:30" x14ac:dyDescent="0.3">
      <c r="A37" s="36"/>
      <c r="B37" s="36"/>
      <c r="C37" s="29" t="s">
        <v>154</v>
      </c>
      <c r="D37" s="30"/>
      <c r="E37" s="31" t="s">
        <v>56</v>
      </c>
      <c r="F37" s="32"/>
      <c r="G37" s="9">
        <v>1</v>
      </c>
      <c r="H37" s="9">
        <v>1</v>
      </c>
      <c r="I37" s="9">
        <v>1</v>
      </c>
      <c r="J37" s="9">
        <v>1</v>
      </c>
      <c r="K37" s="9">
        <v>1</v>
      </c>
      <c r="L37" s="9">
        <v>1</v>
      </c>
      <c r="M37" s="9">
        <v>1</v>
      </c>
      <c r="N37" s="10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</row>
    <row r="38" spans="1:30" x14ac:dyDescent="0.3">
      <c r="A38" s="36"/>
      <c r="B38" s="36"/>
      <c r="C38" s="29" t="s">
        <v>155</v>
      </c>
      <c r="D38" s="30"/>
      <c r="E38" s="31" t="s">
        <v>85</v>
      </c>
      <c r="F38" s="32"/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10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</row>
    <row r="39" spans="1:30" x14ac:dyDescent="0.3">
      <c r="A39" s="36"/>
      <c r="B39" s="36"/>
      <c r="C39" s="29" t="s">
        <v>156</v>
      </c>
      <c r="D39" s="30"/>
      <c r="E39" s="31" t="s">
        <v>54</v>
      </c>
      <c r="F39" s="32"/>
      <c r="G39" s="9">
        <v>2</v>
      </c>
      <c r="H39" s="9">
        <v>1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10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</row>
    <row r="40" spans="1:30" x14ac:dyDescent="0.3">
      <c r="A40" s="36"/>
      <c r="B40" s="36"/>
      <c r="C40" s="29"/>
      <c r="D40" s="30"/>
      <c r="E40" s="31"/>
      <c r="F40" s="32"/>
      <c r="G40" s="9"/>
      <c r="H40" s="9"/>
      <c r="I40" s="9"/>
      <c r="J40" s="9"/>
      <c r="K40" s="9"/>
      <c r="L40" s="9"/>
      <c r="M40" s="9"/>
      <c r="N40" s="12">
        <v>1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3">
      <c r="A41" s="36"/>
      <c r="B41" s="36"/>
      <c r="C41" s="29" t="s">
        <v>157</v>
      </c>
      <c r="D41" s="30"/>
      <c r="E41" s="31" t="s">
        <v>56</v>
      </c>
      <c r="F41" s="32"/>
      <c r="G41" s="9">
        <v>1</v>
      </c>
      <c r="H41" s="9">
        <v>1</v>
      </c>
      <c r="I41" s="9">
        <v>1</v>
      </c>
      <c r="J41" s="9">
        <v>1</v>
      </c>
      <c r="K41" s="9">
        <v>1</v>
      </c>
      <c r="L41" s="9">
        <v>1</v>
      </c>
      <c r="M41" s="9">
        <v>1</v>
      </c>
      <c r="N41" s="10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</row>
    <row r="42" spans="1:30" x14ac:dyDescent="0.3">
      <c r="A42" s="36"/>
      <c r="B42" s="36"/>
      <c r="C42" s="29" t="s">
        <v>19</v>
      </c>
      <c r="D42" s="30"/>
      <c r="E42" s="31" t="s">
        <v>44</v>
      </c>
      <c r="F42" s="32"/>
      <c r="G42" s="9">
        <v>5</v>
      </c>
      <c r="H42" s="9">
        <v>5</v>
      </c>
      <c r="I42" s="9">
        <v>5</v>
      </c>
      <c r="J42" s="9">
        <v>5</v>
      </c>
      <c r="K42" s="9">
        <v>5</v>
      </c>
      <c r="L42" s="9">
        <v>5</v>
      </c>
      <c r="M42" s="9">
        <v>5</v>
      </c>
      <c r="N42" s="10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</row>
    <row r="43" spans="1:30" x14ac:dyDescent="0.3">
      <c r="A43" s="36"/>
      <c r="B43" s="35" t="s">
        <v>24</v>
      </c>
      <c r="C43" s="29" t="s">
        <v>188</v>
      </c>
      <c r="D43" s="30"/>
      <c r="E43" s="31" t="s">
        <v>86</v>
      </c>
      <c r="F43" s="32"/>
      <c r="G43" s="9">
        <v>5</v>
      </c>
      <c r="H43" s="9">
        <v>5</v>
      </c>
      <c r="I43" s="9">
        <v>5</v>
      </c>
      <c r="J43" s="9">
        <v>5</v>
      </c>
      <c r="K43" s="9">
        <v>5</v>
      </c>
      <c r="L43" s="9">
        <v>5</v>
      </c>
      <c r="M43" s="9">
        <v>5</v>
      </c>
      <c r="N43" s="9">
        <v>5</v>
      </c>
      <c r="O43" s="10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</row>
    <row r="44" spans="1:30" x14ac:dyDescent="0.3">
      <c r="A44" s="36"/>
      <c r="B44" s="36"/>
      <c r="C44" s="29" t="s">
        <v>198</v>
      </c>
      <c r="D44" s="30"/>
      <c r="E44" s="31" t="s">
        <v>86</v>
      </c>
      <c r="F44" s="32"/>
      <c r="G44" s="9">
        <v>5</v>
      </c>
      <c r="H44" s="9">
        <v>5</v>
      </c>
      <c r="I44" s="9">
        <v>5</v>
      </c>
      <c r="J44" s="9">
        <v>5</v>
      </c>
      <c r="K44" s="9">
        <v>5</v>
      </c>
      <c r="L44" s="9">
        <v>5</v>
      </c>
      <c r="M44" s="9">
        <v>5</v>
      </c>
      <c r="N44" s="9">
        <v>5</v>
      </c>
      <c r="O44" s="10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</row>
    <row r="45" spans="1:30" x14ac:dyDescent="0.3">
      <c r="A45" s="36"/>
      <c r="B45" s="36"/>
      <c r="C45" s="29" t="s">
        <v>189</v>
      </c>
      <c r="D45" s="30"/>
      <c r="E45" s="31" t="s">
        <v>85</v>
      </c>
      <c r="F45" s="32"/>
      <c r="G45" s="9">
        <v>6</v>
      </c>
      <c r="H45" s="9">
        <v>5</v>
      </c>
      <c r="I45" s="9">
        <v>5</v>
      </c>
      <c r="J45" s="9">
        <v>5</v>
      </c>
      <c r="K45" s="9">
        <v>5</v>
      </c>
      <c r="L45" s="9">
        <v>5</v>
      </c>
      <c r="M45" s="9">
        <v>5</v>
      </c>
      <c r="N45" s="9">
        <v>5</v>
      </c>
      <c r="O45" s="10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</row>
    <row r="46" spans="1:30" x14ac:dyDescent="0.3">
      <c r="A46" s="36"/>
      <c r="B46" s="36"/>
      <c r="C46" s="29"/>
      <c r="D46" s="30"/>
      <c r="E46" s="31"/>
      <c r="F46" s="32"/>
      <c r="G46" s="9"/>
      <c r="H46" s="9"/>
      <c r="I46" s="9"/>
      <c r="J46" s="9"/>
      <c r="K46" s="9"/>
      <c r="L46" s="9"/>
      <c r="M46" s="9"/>
      <c r="N46" s="9"/>
      <c r="O46" s="12">
        <v>1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3">
      <c r="A47" s="36"/>
      <c r="B47" s="36"/>
      <c r="C47" s="29" t="s">
        <v>199</v>
      </c>
      <c r="D47" s="30"/>
      <c r="E47" s="31" t="s">
        <v>85</v>
      </c>
      <c r="F47" s="32"/>
      <c r="G47" s="9">
        <v>5</v>
      </c>
      <c r="H47" s="9">
        <v>5</v>
      </c>
      <c r="I47" s="9">
        <v>5</v>
      </c>
      <c r="J47" s="9">
        <v>5</v>
      </c>
      <c r="K47" s="9">
        <v>5</v>
      </c>
      <c r="L47" s="9">
        <v>5</v>
      </c>
      <c r="M47" s="9">
        <v>5</v>
      </c>
      <c r="N47" s="9">
        <v>5</v>
      </c>
      <c r="O47" s="9">
        <v>5</v>
      </c>
      <c r="P47" s="10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</row>
    <row r="48" spans="1:30" x14ac:dyDescent="0.3">
      <c r="A48" s="36"/>
      <c r="B48" s="36"/>
      <c r="C48" s="29" t="s">
        <v>190</v>
      </c>
      <c r="D48" s="30"/>
      <c r="E48" s="31" t="s">
        <v>85</v>
      </c>
      <c r="F48" s="32"/>
      <c r="G48" s="9">
        <v>5</v>
      </c>
      <c r="H48" s="9">
        <v>5</v>
      </c>
      <c r="I48" s="9">
        <v>5</v>
      </c>
      <c r="J48" s="9">
        <v>5</v>
      </c>
      <c r="K48" s="9">
        <v>5</v>
      </c>
      <c r="L48" s="9">
        <v>5</v>
      </c>
      <c r="M48" s="9">
        <v>5</v>
      </c>
      <c r="N48" s="9">
        <v>5</v>
      </c>
      <c r="O48" s="9">
        <v>5</v>
      </c>
      <c r="P48" s="10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</row>
    <row r="49" spans="1:30" x14ac:dyDescent="0.3">
      <c r="A49" s="36"/>
      <c r="B49" s="36"/>
      <c r="C49" s="29" t="s">
        <v>200</v>
      </c>
      <c r="D49" s="30"/>
      <c r="E49" s="31" t="s">
        <v>85</v>
      </c>
      <c r="F49" s="32"/>
      <c r="G49" s="9">
        <v>5</v>
      </c>
      <c r="H49" s="9">
        <v>5</v>
      </c>
      <c r="I49" s="9">
        <v>5</v>
      </c>
      <c r="J49" s="9">
        <v>5</v>
      </c>
      <c r="K49" s="9">
        <v>5</v>
      </c>
      <c r="L49" s="9">
        <v>5</v>
      </c>
      <c r="M49" s="9">
        <v>5</v>
      </c>
      <c r="N49" s="9">
        <v>5</v>
      </c>
      <c r="O49" s="9">
        <v>5</v>
      </c>
      <c r="P49" s="9">
        <v>5</v>
      </c>
      <c r="Q49" s="10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</row>
    <row r="50" spans="1:30" x14ac:dyDescent="0.3">
      <c r="A50" s="36"/>
      <c r="B50" s="36"/>
      <c r="C50" s="29" t="s">
        <v>191</v>
      </c>
      <c r="D50" s="30"/>
      <c r="E50" s="31" t="s">
        <v>54</v>
      </c>
      <c r="F50" s="32"/>
      <c r="G50" s="9">
        <v>6</v>
      </c>
      <c r="H50" s="9">
        <v>5</v>
      </c>
      <c r="I50" s="9">
        <v>5</v>
      </c>
      <c r="J50" s="9">
        <v>5</v>
      </c>
      <c r="K50" s="9">
        <v>5</v>
      </c>
      <c r="L50" s="9">
        <v>5</v>
      </c>
      <c r="M50" s="9">
        <v>5</v>
      </c>
      <c r="N50" s="9">
        <v>5</v>
      </c>
      <c r="O50" s="9">
        <v>0</v>
      </c>
      <c r="P50" s="9">
        <v>0</v>
      </c>
      <c r="Q50" s="10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</row>
    <row r="51" spans="1:30" x14ac:dyDescent="0.3">
      <c r="A51" s="36"/>
      <c r="B51" s="36"/>
      <c r="C51" s="29"/>
      <c r="D51" s="30"/>
      <c r="E51" s="31"/>
      <c r="F51" s="32"/>
      <c r="G51" s="9"/>
      <c r="H51" s="9"/>
      <c r="I51" s="9"/>
      <c r="J51" s="9"/>
      <c r="K51" s="9"/>
      <c r="L51" s="9"/>
      <c r="M51" s="9"/>
      <c r="N51" s="9"/>
      <c r="O51" s="9"/>
      <c r="P51" s="9"/>
      <c r="Q51" s="12">
        <v>1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x14ac:dyDescent="0.3">
      <c r="A52" s="36"/>
      <c r="B52" s="36"/>
      <c r="C52" s="29" t="s">
        <v>201</v>
      </c>
      <c r="D52" s="30"/>
      <c r="E52" s="31" t="s">
        <v>54</v>
      </c>
      <c r="F52" s="32"/>
      <c r="G52" s="9">
        <v>5</v>
      </c>
      <c r="H52" s="9">
        <v>5</v>
      </c>
      <c r="I52" s="9">
        <v>5</v>
      </c>
      <c r="J52" s="9">
        <v>5</v>
      </c>
      <c r="K52" s="9">
        <v>5</v>
      </c>
      <c r="L52" s="9">
        <v>5</v>
      </c>
      <c r="M52" s="9">
        <v>5</v>
      </c>
      <c r="N52" s="9">
        <v>5</v>
      </c>
      <c r="O52" s="9">
        <v>5</v>
      </c>
      <c r="P52" s="9">
        <v>5</v>
      </c>
      <c r="Q52" s="9">
        <v>5</v>
      </c>
      <c r="R52" s="10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</row>
    <row r="53" spans="1:30" x14ac:dyDescent="0.3">
      <c r="A53" s="36"/>
      <c r="B53" s="36"/>
      <c r="C53" s="29" t="s">
        <v>192</v>
      </c>
      <c r="D53" s="30"/>
      <c r="E53" s="31" t="s">
        <v>54</v>
      </c>
      <c r="F53" s="32"/>
      <c r="G53" s="9">
        <v>5</v>
      </c>
      <c r="H53" s="9">
        <v>5</v>
      </c>
      <c r="I53" s="9">
        <v>5</v>
      </c>
      <c r="J53" s="9">
        <v>5</v>
      </c>
      <c r="K53" s="9">
        <v>5</v>
      </c>
      <c r="L53" s="9">
        <v>5</v>
      </c>
      <c r="M53" s="9">
        <v>5</v>
      </c>
      <c r="N53" s="9">
        <v>5</v>
      </c>
      <c r="O53" s="9">
        <v>5</v>
      </c>
      <c r="P53" s="9">
        <v>5</v>
      </c>
      <c r="Q53" s="9">
        <v>5</v>
      </c>
      <c r="R53" s="10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</row>
    <row r="54" spans="1:30" x14ac:dyDescent="0.3">
      <c r="A54" s="36"/>
      <c r="B54" s="36"/>
      <c r="C54" s="29" t="s">
        <v>202</v>
      </c>
      <c r="D54" s="30"/>
      <c r="E54" s="31" t="s">
        <v>56</v>
      </c>
      <c r="F54" s="32"/>
      <c r="G54" s="9">
        <v>5</v>
      </c>
      <c r="H54" s="9">
        <v>5</v>
      </c>
      <c r="I54" s="9">
        <v>5</v>
      </c>
      <c r="J54" s="9">
        <v>5</v>
      </c>
      <c r="K54" s="9">
        <v>5</v>
      </c>
      <c r="L54" s="9">
        <v>5</v>
      </c>
      <c r="M54" s="9">
        <v>5</v>
      </c>
      <c r="N54" s="9">
        <v>5</v>
      </c>
      <c r="O54" s="9">
        <v>5</v>
      </c>
      <c r="P54" s="9">
        <v>5</v>
      </c>
      <c r="Q54" s="9">
        <v>5</v>
      </c>
      <c r="R54" s="10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</row>
    <row r="55" spans="1:30" x14ac:dyDescent="0.3">
      <c r="A55" s="36"/>
      <c r="B55" s="36"/>
      <c r="C55" s="29" t="s">
        <v>193</v>
      </c>
      <c r="D55" s="30"/>
      <c r="E55" s="31" t="s">
        <v>56</v>
      </c>
      <c r="F55" s="32"/>
      <c r="G55" s="9">
        <v>5</v>
      </c>
      <c r="H55" s="9">
        <v>5</v>
      </c>
      <c r="I55" s="9">
        <v>5</v>
      </c>
      <c r="J55" s="9">
        <v>5</v>
      </c>
      <c r="K55" s="9">
        <v>5</v>
      </c>
      <c r="L55" s="9">
        <v>5</v>
      </c>
      <c r="M55" s="9">
        <v>5</v>
      </c>
      <c r="N55" s="9">
        <v>5</v>
      </c>
      <c r="O55" s="9">
        <v>5</v>
      </c>
      <c r="P55" s="9">
        <v>5</v>
      </c>
      <c r="Q55" s="9">
        <v>5</v>
      </c>
      <c r="R55" s="10">
        <v>0</v>
      </c>
      <c r="S55" s="10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</row>
    <row r="56" spans="1:30" x14ac:dyDescent="0.3">
      <c r="A56" s="36"/>
      <c r="B56" s="36"/>
      <c r="C56" s="29" t="s">
        <v>203</v>
      </c>
      <c r="D56" s="30"/>
      <c r="E56" s="31" t="s">
        <v>56</v>
      </c>
      <c r="F56" s="32"/>
      <c r="G56" s="9">
        <v>5</v>
      </c>
      <c r="H56" s="9">
        <v>5</v>
      </c>
      <c r="I56" s="9">
        <v>5</v>
      </c>
      <c r="J56" s="9">
        <v>5</v>
      </c>
      <c r="K56" s="9">
        <v>5</v>
      </c>
      <c r="L56" s="9">
        <v>5</v>
      </c>
      <c r="M56" s="9">
        <v>5</v>
      </c>
      <c r="N56" s="9">
        <v>5</v>
      </c>
      <c r="O56" s="9">
        <v>5</v>
      </c>
      <c r="P56" s="9">
        <v>5</v>
      </c>
      <c r="Q56" s="9">
        <v>5</v>
      </c>
      <c r="R56" s="9">
        <v>5</v>
      </c>
      <c r="S56" s="10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</row>
    <row r="57" spans="1:30" x14ac:dyDescent="0.3">
      <c r="A57" s="36"/>
      <c r="B57" s="36"/>
      <c r="C57" s="29" t="s">
        <v>194</v>
      </c>
      <c r="D57" s="30"/>
      <c r="E57" s="31" t="s">
        <v>56</v>
      </c>
      <c r="F57" s="32"/>
      <c r="G57" s="9">
        <v>5</v>
      </c>
      <c r="H57" s="9">
        <v>5</v>
      </c>
      <c r="I57" s="9">
        <v>5</v>
      </c>
      <c r="J57" s="9">
        <v>5</v>
      </c>
      <c r="K57" s="9">
        <v>5</v>
      </c>
      <c r="L57" s="9">
        <v>5</v>
      </c>
      <c r="M57" s="9">
        <v>5</v>
      </c>
      <c r="N57" s="9">
        <v>5</v>
      </c>
      <c r="O57" s="9">
        <v>5</v>
      </c>
      <c r="P57" s="9">
        <v>5</v>
      </c>
      <c r="Q57" s="9">
        <v>5</v>
      </c>
      <c r="R57" s="9">
        <v>5</v>
      </c>
      <c r="S57" s="10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</row>
    <row r="58" spans="1:30" x14ac:dyDescent="0.3">
      <c r="A58" s="36"/>
      <c r="B58" s="36"/>
      <c r="C58" s="29" t="s">
        <v>204</v>
      </c>
      <c r="D58" s="30"/>
      <c r="E58" s="31" t="s">
        <v>56</v>
      </c>
      <c r="F58" s="32"/>
      <c r="G58" s="9">
        <v>5</v>
      </c>
      <c r="H58" s="9">
        <v>5</v>
      </c>
      <c r="I58" s="9">
        <v>5</v>
      </c>
      <c r="J58" s="9">
        <v>5</v>
      </c>
      <c r="K58" s="9">
        <v>5</v>
      </c>
      <c r="L58" s="9">
        <v>5</v>
      </c>
      <c r="M58" s="9">
        <v>5</v>
      </c>
      <c r="N58" s="9">
        <v>5</v>
      </c>
      <c r="O58" s="9">
        <v>5</v>
      </c>
      <c r="P58" s="9">
        <v>5</v>
      </c>
      <c r="Q58" s="9">
        <v>5</v>
      </c>
      <c r="R58" s="9">
        <v>5</v>
      </c>
      <c r="S58" s="9">
        <v>5</v>
      </c>
      <c r="T58" s="10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</row>
    <row r="59" spans="1:30" x14ac:dyDescent="0.3">
      <c r="A59" s="36"/>
      <c r="B59" s="36"/>
      <c r="C59" s="29" t="s">
        <v>195</v>
      </c>
      <c r="D59" s="30"/>
      <c r="E59" s="31" t="s">
        <v>85</v>
      </c>
      <c r="F59" s="32"/>
      <c r="G59" s="9">
        <v>4</v>
      </c>
      <c r="H59" s="9">
        <v>5</v>
      </c>
      <c r="I59" s="9">
        <v>5</v>
      </c>
      <c r="J59" s="9">
        <v>5</v>
      </c>
      <c r="K59" s="9">
        <v>5</v>
      </c>
      <c r="L59" s="9">
        <v>5</v>
      </c>
      <c r="M59" s="9">
        <v>5</v>
      </c>
      <c r="N59" s="9">
        <v>5</v>
      </c>
      <c r="O59" s="9">
        <v>5</v>
      </c>
      <c r="P59" s="9">
        <v>5</v>
      </c>
      <c r="Q59" s="9">
        <v>5</v>
      </c>
      <c r="R59" s="9">
        <v>5</v>
      </c>
      <c r="S59" s="9">
        <v>5</v>
      </c>
      <c r="T59" s="9">
        <v>5</v>
      </c>
      <c r="U59" s="10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</row>
    <row r="60" spans="1:30" x14ac:dyDescent="0.3">
      <c r="A60" s="36"/>
      <c r="B60" s="36"/>
      <c r="C60" s="29"/>
      <c r="D60" s="30"/>
      <c r="E60" s="31"/>
      <c r="F60" s="32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11">
        <v>1</v>
      </c>
      <c r="V60" s="9"/>
      <c r="W60" s="9"/>
      <c r="X60" s="9"/>
      <c r="Y60" s="9"/>
      <c r="Z60" s="9"/>
      <c r="AA60" s="9"/>
      <c r="AB60" s="9"/>
      <c r="AC60" s="9"/>
      <c r="AD60" s="9"/>
    </row>
    <row r="61" spans="1:30" x14ac:dyDescent="0.3">
      <c r="A61" s="36"/>
      <c r="B61" s="36"/>
      <c r="C61" s="29" t="s">
        <v>205</v>
      </c>
      <c r="D61" s="30"/>
      <c r="E61" s="31" t="s">
        <v>85</v>
      </c>
      <c r="F61" s="32"/>
      <c r="G61" s="9">
        <v>5</v>
      </c>
      <c r="H61" s="9">
        <v>5</v>
      </c>
      <c r="I61" s="9">
        <v>5</v>
      </c>
      <c r="J61" s="9">
        <v>5</v>
      </c>
      <c r="K61" s="9">
        <v>5</v>
      </c>
      <c r="L61" s="9">
        <v>5</v>
      </c>
      <c r="M61" s="9">
        <v>5</v>
      </c>
      <c r="N61" s="9">
        <v>5</v>
      </c>
      <c r="O61" s="9">
        <v>5</v>
      </c>
      <c r="P61" s="9">
        <v>5</v>
      </c>
      <c r="Q61" s="9">
        <v>5</v>
      </c>
      <c r="R61" s="9">
        <v>5</v>
      </c>
      <c r="S61" s="9">
        <v>5</v>
      </c>
      <c r="T61" s="9">
        <v>5</v>
      </c>
      <c r="U61" s="10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</row>
    <row r="62" spans="1:30" x14ac:dyDescent="0.3">
      <c r="A62" s="36"/>
      <c r="B62" s="36"/>
      <c r="C62" s="29" t="s">
        <v>196</v>
      </c>
      <c r="D62" s="30"/>
      <c r="E62" s="31" t="s">
        <v>54</v>
      </c>
      <c r="F62" s="32"/>
      <c r="G62" s="9">
        <v>3</v>
      </c>
      <c r="H62" s="9">
        <v>5</v>
      </c>
      <c r="I62" s="9">
        <v>5</v>
      </c>
      <c r="J62" s="9">
        <v>5</v>
      </c>
      <c r="K62" s="9">
        <v>5</v>
      </c>
      <c r="L62" s="9">
        <v>5</v>
      </c>
      <c r="M62" s="9">
        <v>5</v>
      </c>
      <c r="N62" s="9">
        <v>5</v>
      </c>
      <c r="O62" s="9">
        <v>5</v>
      </c>
      <c r="P62" s="9">
        <v>5</v>
      </c>
      <c r="Q62" s="9">
        <v>5</v>
      </c>
      <c r="R62" s="9">
        <v>5</v>
      </c>
      <c r="S62" s="9">
        <v>5</v>
      </c>
      <c r="T62" s="9">
        <v>5</v>
      </c>
      <c r="U62" s="9">
        <v>5</v>
      </c>
      <c r="V62" s="10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</row>
    <row r="63" spans="1:30" x14ac:dyDescent="0.3">
      <c r="A63" s="36"/>
      <c r="B63" s="36"/>
      <c r="C63" s="29"/>
      <c r="D63" s="30"/>
      <c r="E63" s="31"/>
      <c r="F63" s="32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11">
        <v>2</v>
      </c>
      <c r="W63" s="9"/>
      <c r="X63" s="9"/>
      <c r="Y63" s="9"/>
      <c r="Z63" s="9"/>
      <c r="AA63" s="9"/>
      <c r="AB63" s="9"/>
      <c r="AC63" s="9"/>
      <c r="AD63" s="9"/>
    </row>
    <row r="64" spans="1:30" x14ac:dyDescent="0.3">
      <c r="A64" s="36"/>
      <c r="B64" s="36"/>
      <c r="C64" s="29" t="s">
        <v>206</v>
      </c>
      <c r="D64" s="30"/>
      <c r="E64" s="31" t="s">
        <v>54</v>
      </c>
      <c r="F64" s="32"/>
      <c r="G64" s="9">
        <v>5</v>
      </c>
      <c r="H64" s="9">
        <v>5</v>
      </c>
      <c r="I64" s="9">
        <v>5</v>
      </c>
      <c r="J64" s="9">
        <v>5</v>
      </c>
      <c r="K64" s="9">
        <v>5</v>
      </c>
      <c r="L64" s="9">
        <v>5</v>
      </c>
      <c r="M64" s="9">
        <v>5</v>
      </c>
      <c r="N64" s="9">
        <v>5</v>
      </c>
      <c r="O64" s="9">
        <v>5</v>
      </c>
      <c r="P64" s="9">
        <v>5</v>
      </c>
      <c r="Q64" s="9">
        <v>5</v>
      </c>
      <c r="R64" s="9">
        <v>5</v>
      </c>
      <c r="S64" s="9">
        <v>5</v>
      </c>
      <c r="T64" s="9">
        <v>5</v>
      </c>
      <c r="U64" s="9">
        <v>5</v>
      </c>
      <c r="V64" s="10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</row>
    <row r="65" spans="1:30" x14ac:dyDescent="0.3">
      <c r="A65" s="36"/>
      <c r="B65" s="36"/>
      <c r="C65" s="29" t="s">
        <v>197</v>
      </c>
      <c r="D65" s="30"/>
      <c r="E65" s="31" t="s">
        <v>56</v>
      </c>
      <c r="F65" s="32"/>
      <c r="G65" s="9">
        <v>5</v>
      </c>
      <c r="H65" s="9">
        <v>5</v>
      </c>
      <c r="I65" s="9">
        <v>5</v>
      </c>
      <c r="J65" s="9">
        <v>5</v>
      </c>
      <c r="K65" s="9">
        <v>5</v>
      </c>
      <c r="L65" s="9">
        <v>5</v>
      </c>
      <c r="M65" s="9">
        <v>5</v>
      </c>
      <c r="N65" s="9">
        <v>5</v>
      </c>
      <c r="O65" s="9">
        <v>5</v>
      </c>
      <c r="P65" s="9">
        <v>5</v>
      </c>
      <c r="Q65" s="9">
        <v>5</v>
      </c>
      <c r="R65" s="9">
        <v>5</v>
      </c>
      <c r="S65" s="9">
        <v>5</v>
      </c>
      <c r="T65" s="9">
        <v>5</v>
      </c>
      <c r="U65" s="9">
        <v>5</v>
      </c>
      <c r="V65" s="10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</row>
    <row r="66" spans="1:30" x14ac:dyDescent="0.3">
      <c r="A66" s="36"/>
      <c r="B66" s="36"/>
      <c r="C66" s="29" t="s">
        <v>207</v>
      </c>
      <c r="D66" s="30"/>
      <c r="E66" s="31" t="s">
        <v>56</v>
      </c>
      <c r="F66" s="32"/>
      <c r="G66" s="9">
        <v>6</v>
      </c>
      <c r="H66" s="9">
        <v>5</v>
      </c>
      <c r="I66" s="9">
        <v>5</v>
      </c>
      <c r="J66" s="9">
        <v>5</v>
      </c>
      <c r="K66" s="9">
        <v>5</v>
      </c>
      <c r="L66" s="9">
        <v>5</v>
      </c>
      <c r="M66" s="9">
        <v>5</v>
      </c>
      <c r="N66" s="9">
        <v>5</v>
      </c>
      <c r="O66" s="9">
        <v>5</v>
      </c>
      <c r="P66" s="9">
        <v>5</v>
      </c>
      <c r="Q66" s="9">
        <v>5</v>
      </c>
      <c r="R66" s="9">
        <v>5</v>
      </c>
      <c r="S66" s="9">
        <v>5</v>
      </c>
      <c r="T66" s="9">
        <v>5</v>
      </c>
      <c r="U66" s="9">
        <v>5</v>
      </c>
      <c r="V66" s="10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</row>
    <row r="67" spans="1:30" ht="19.8" customHeight="1" x14ac:dyDescent="0.3">
      <c r="A67" s="36"/>
      <c r="B67" s="36"/>
      <c r="C67" s="29"/>
      <c r="D67" s="30"/>
      <c r="E67" s="31"/>
      <c r="F67" s="32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12">
        <v>1</v>
      </c>
      <c r="W67" s="9"/>
      <c r="X67" s="9"/>
      <c r="Y67" s="9"/>
      <c r="Z67" s="9"/>
      <c r="AA67" s="9"/>
      <c r="AB67" s="9"/>
      <c r="AC67" s="9"/>
      <c r="AD67" s="9"/>
    </row>
    <row r="68" spans="1:30" ht="18.600000000000001" customHeight="1" x14ac:dyDescent="0.3">
      <c r="A68" s="36"/>
      <c r="B68" s="36"/>
      <c r="C68" s="29" t="s">
        <v>23</v>
      </c>
      <c r="D68" s="30"/>
      <c r="E68" s="31" t="s">
        <v>107</v>
      </c>
      <c r="F68" s="32"/>
      <c r="G68" s="9">
        <v>5</v>
      </c>
      <c r="H68" s="9">
        <v>5</v>
      </c>
      <c r="I68" s="9">
        <v>5</v>
      </c>
      <c r="J68" s="9">
        <v>5</v>
      </c>
      <c r="K68" s="9">
        <v>5</v>
      </c>
      <c r="L68" s="9">
        <v>5</v>
      </c>
      <c r="M68" s="9">
        <v>5</v>
      </c>
      <c r="N68" s="9">
        <v>5</v>
      </c>
      <c r="O68" s="9">
        <v>5</v>
      </c>
      <c r="P68" s="9">
        <v>5</v>
      </c>
      <c r="Q68" s="9">
        <v>5</v>
      </c>
      <c r="R68" s="9">
        <v>5</v>
      </c>
      <c r="S68" s="9">
        <v>5</v>
      </c>
      <c r="T68" s="9">
        <v>5</v>
      </c>
      <c r="U68" s="9">
        <v>5</v>
      </c>
      <c r="V68" s="9">
        <v>5</v>
      </c>
      <c r="W68" s="10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</row>
    <row r="69" spans="1:30" x14ac:dyDescent="0.3">
      <c r="A69" s="36"/>
      <c r="B69" s="35" t="s">
        <v>26</v>
      </c>
      <c r="C69" s="29" t="s">
        <v>158</v>
      </c>
      <c r="D69" s="30"/>
      <c r="E69" s="31" t="s">
        <v>66</v>
      </c>
      <c r="F69" s="32"/>
      <c r="G69" s="9">
        <v>2</v>
      </c>
      <c r="H69" s="9">
        <v>2</v>
      </c>
      <c r="I69" s="9">
        <v>2</v>
      </c>
      <c r="J69" s="9">
        <v>2</v>
      </c>
      <c r="K69" s="9">
        <v>2</v>
      </c>
      <c r="L69" s="9">
        <v>2</v>
      </c>
      <c r="M69" s="9">
        <v>2</v>
      </c>
      <c r="N69" s="9">
        <v>2</v>
      </c>
      <c r="O69" s="9">
        <v>2</v>
      </c>
      <c r="P69" s="9">
        <v>2</v>
      </c>
      <c r="Q69" s="9">
        <v>2</v>
      </c>
      <c r="R69" s="9">
        <v>2</v>
      </c>
      <c r="S69" s="9">
        <v>2</v>
      </c>
      <c r="T69" s="9">
        <v>2</v>
      </c>
      <c r="U69" s="9">
        <v>2</v>
      </c>
      <c r="V69" s="9">
        <v>2</v>
      </c>
      <c r="W69" s="10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</row>
    <row r="70" spans="1:30" x14ac:dyDescent="0.3">
      <c r="A70" s="36"/>
      <c r="B70" s="36"/>
      <c r="C70" s="29" t="s">
        <v>159</v>
      </c>
      <c r="D70" s="30"/>
      <c r="E70" s="31" t="s">
        <v>66</v>
      </c>
      <c r="F70" s="32"/>
      <c r="G70" s="9">
        <v>2</v>
      </c>
      <c r="H70" s="9">
        <v>2</v>
      </c>
      <c r="I70" s="9">
        <v>2</v>
      </c>
      <c r="J70" s="9">
        <v>2</v>
      </c>
      <c r="K70" s="9">
        <v>2</v>
      </c>
      <c r="L70" s="9">
        <v>2</v>
      </c>
      <c r="M70" s="9">
        <v>2</v>
      </c>
      <c r="N70" s="9">
        <v>2</v>
      </c>
      <c r="O70" s="9">
        <v>2</v>
      </c>
      <c r="P70" s="9">
        <v>2</v>
      </c>
      <c r="Q70" s="9">
        <v>2</v>
      </c>
      <c r="R70" s="9">
        <v>2</v>
      </c>
      <c r="S70" s="9">
        <v>2</v>
      </c>
      <c r="T70" s="9">
        <v>2</v>
      </c>
      <c r="U70" s="9">
        <v>2</v>
      </c>
      <c r="V70" s="9">
        <v>2</v>
      </c>
      <c r="W70" s="10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</row>
    <row r="71" spans="1:30" x14ac:dyDescent="0.3">
      <c r="A71" s="36"/>
      <c r="B71" s="36"/>
      <c r="C71" s="29" t="s">
        <v>160</v>
      </c>
      <c r="D71" s="30"/>
      <c r="E71" s="31" t="s">
        <v>66</v>
      </c>
      <c r="F71" s="32"/>
      <c r="G71" s="9">
        <v>2</v>
      </c>
      <c r="H71" s="9">
        <v>2</v>
      </c>
      <c r="I71" s="9">
        <v>2</v>
      </c>
      <c r="J71" s="9">
        <v>2</v>
      </c>
      <c r="K71" s="9">
        <v>2</v>
      </c>
      <c r="L71" s="9">
        <v>2</v>
      </c>
      <c r="M71" s="9">
        <v>2</v>
      </c>
      <c r="N71" s="9">
        <v>2</v>
      </c>
      <c r="O71" s="9">
        <v>2</v>
      </c>
      <c r="P71" s="9">
        <v>2</v>
      </c>
      <c r="Q71" s="9">
        <v>2</v>
      </c>
      <c r="R71" s="9">
        <v>2</v>
      </c>
      <c r="S71" s="9">
        <v>2</v>
      </c>
      <c r="T71" s="9">
        <v>2</v>
      </c>
      <c r="U71" s="9">
        <v>2</v>
      </c>
      <c r="V71" s="9">
        <v>2</v>
      </c>
      <c r="W71" s="10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</row>
    <row r="72" spans="1:30" x14ac:dyDescent="0.3">
      <c r="A72" s="36"/>
      <c r="B72" s="36"/>
      <c r="C72" s="29" t="s">
        <v>161</v>
      </c>
      <c r="D72" s="30"/>
      <c r="E72" s="31" t="s">
        <v>66</v>
      </c>
      <c r="F72" s="32"/>
      <c r="G72" s="9">
        <v>2</v>
      </c>
      <c r="H72" s="9">
        <v>2</v>
      </c>
      <c r="I72" s="9">
        <v>2</v>
      </c>
      <c r="J72" s="9">
        <v>2</v>
      </c>
      <c r="K72" s="9">
        <v>2</v>
      </c>
      <c r="L72" s="9">
        <v>2</v>
      </c>
      <c r="M72" s="9">
        <v>2</v>
      </c>
      <c r="N72" s="9">
        <v>2</v>
      </c>
      <c r="O72" s="9">
        <v>2</v>
      </c>
      <c r="P72" s="9">
        <v>2</v>
      </c>
      <c r="Q72" s="9">
        <v>2</v>
      </c>
      <c r="R72" s="9">
        <v>2</v>
      </c>
      <c r="S72" s="9">
        <v>2</v>
      </c>
      <c r="T72" s="9">
        <v>2</v>
      </c>
      <c r="U72" s="9">
        <v>2</v>
      </c>
      <c r="V72" s="9">
        <v>2</v>
      </c>
      <c r="W72" s="10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</row>
    <row r="73" spans="1:30" x14ac:dyDescent="0.3">
      <c r="A73" s="36"/>
      <c r="B73" s="36"/>
      <c r="C73" s="29" t="s">
        <v>162</v>
      </c>
      <c r="D73" s="30"/>
      <c r="E73" s="31" t="s">
        <v>66</v>
      </c>
      <c r="F73" s="32"/>
      <c r="G73" s="9">
        <v>1</v>
      </c>
      <c r="H73" s="9">
        <v>2</v>
      </c>
      <c r="I73" s="9">
        <v>2</v>
      </c>
      <c r="J73" s="9">
        <v>2</v>
      </c>
      <c r="K73" s="9">
        <v>2</v>
      </c>
      <c r="L73" s="9">
        <v>2</v>
      </c>
      <c r="M73" s="9">
        <v>2</v>
      </c>
      <c r="N73" s="9">
        <v>2</v>
      </c>
      <c r="O73" s="9">
        <v>2</v>
      </c>
      <c r="P73" s="9">
        <v>2</v>
      </c>
      <c r="Q73" s="9">
        <v>2</v>
      </c>
      <c r="R73" s="9">
        <v>2</v>
      </c>
      <c r="S73" s="9">
        <v>2</v>
      </c>
      <c r="T73" s="9">
        <v>2</v>
      </c>
      <c r="U73" s="9">
        <v>2</v>
      </c>
      <c r="V73" s="9">
        <v>2</v>
      </c>
      <c r="W73" s="10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</row>
    <row r="74" spans="1:30" x14ac:dyDescent="0.3">
      <c r="A74" s="36"/>
      <c r="B74" s="36"/>
      <c r="C74" s="29"/>
      <c r="D74" s="30"/>
      <c r="E74" s="31"/>
      <c r="F74" s="32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11">
        <v>2</v>
      </c>
      <c r="X74" s="9"/>
      <c r="Y74" s="9"/>
      <c r="Z74" s="9"/>
      <c r="AA74" s="9"/>
      <c r="AB74" s="9"/>
      <c r="AC74" s="9"/>
      <c r="AD74" s="9"/>
    </row>
    <row r="75" spans="1:30" x14ac:dyDescent="0.3">
      <c r="A75" s="36"/>
      <c r="B75" s="36"/>
      <c r="C75" s="29" t="s">
        <v>163</v>
      </c>
      <c r="D75" s="30"/>
      <c r="E75" s="31" t="s">
        <v>66</v>
      </c>
      <c r="F75" s="32"/>
      <c r="G75" s="9">
        <v>2</v>
      </c>
      <c r="H75" s="9">
        <v>2</v>
      </c>
      <c r="I75" s="9">
        <v>2</v>
      </c>
      <c r="J75" s="9">
        <v>2</v>
      </c>
      <c r="K75" s="9">
        <v>2</v>
      </c>
      <c r="L75" s="9">
        <v>2</v>
      </c>
      <c r="M75" s="9">
        <v>2</v>
      </c>
      <c r="N75" s="9">
        <v>2</v>
      </c>
      <c r="O75" s="9">
        <v>2</v>
      </c>
      <c r="P75" s="9">
        <v>2</v>
      </c>
      <c r="Q75" s="9">
        <v>2</v>
      </c>
      <c r="R75" s="9">
        <v>2</v>
      </c>
      <c r="S75" s="9">
        <v>2</v>
      </c>
      <c r="T75" s="9">
        <v>2</v>
      </c>
      <c r="U75" s="9">
        <v>2</v>
      </c>
      <c r="V75" s="9">
        <v>2</v>
      </c>
      <c r="W75" s="9">
        <v>2</v>
      </c>
      <c r="X75" s="10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</row>
    <row r="76" spans="1:30" x14ac:dyDescent="0.3">
      <c r="A76" s="36"/>
      <c r="B76" s="36"/>
      <c r="C76" s="29" t="s">
        <v>164</v>
      </c>
      <c r="D76" s="30"/>
      <c r="E76" s="31" t="s">
        <v>66</v>
      </c>
      <c r="F76" s="32"/>
      <c r="G76" s="9">
        <v>2</v>
      </c>
      <c r="H76" s="9">
        <v>2</v>
      </c>
      <c r="I76" s="9">
        <v>2</v>
      </c>
      <c r="J76" s="9">
        <v>2</v>
      </c>
      <c r="K76" s="9">
        <v>2</v>
      </c>
      <c r="L76" s="9">
        <v>2</v>
      </c>
      <c r="M76" s="9">
        <v>2</v>
      </c>
      <c r="N76" s="9">
        <v>2</v>
      </c>
      <c r="O76" s="9">
        <v>2</v>
      </c>
      <c r="P76" s="9">
        <v>2</v>
      </c>
      <c r="Q76" s="9">
        <v>2</v>
      </c>
      <c r="R76" s="9">
        <v>2</v>
      </c>
      <c r="S76" s="9">
        <v>2</v>
      </c>
      <c r="T76" s="9">
        <v>2</v>
      </c>
      <c r="U76" s="9">
        <v>2</v>
      </c>
      <c r="V76" s="9">
        <v>2</v>
      </c>
      <c r="W76" s="9">
        <v>2</v>
      </c>
      <c r="X76" s="10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</row>
    <row r="77" spans="1:30" x14ac:dyDescent="0.3">
      <c r="A77" s="36"/>
      <c r="B77" s="36"/>
      <c r="C77" s="29" t="s">
        <v>165</v>
      </c>
      <c r="D77" s="30"/>
      <c r="E77" s="31" t="s">
        <v>66</v>
      </c>
      <c r="F77" s="32"/>
      <c r="G77" s="9">
        <v>2</v>
      </c>
      <c r="H77" s="9">
        <v>2</v>
      </c>
      <c r="I77" s="9">
        <v>2</v>
      </c>
      <c r="J77" s="9">
        <v>2</v>
      </c>
      <c r="K77" s="9">
        <v>2</v>
      </c>
      <c r="L77" s="9">
        <v>2</v>
      </c>
      <c r="M77" s="9">
        <v>2</v>
      </c>
      <c r="N77" s="9">
        <v>2</v>
      </c>
      <c r="O77" s="9">
        <v>2</v>
      </c>
      <c r="P77" s="9">
        <v>2</v>
      </c>
      <c r="Q77" s="9">
        <v>2</v>
      </c>
      <c r="R77" s="9">
        <v>2</v>
      </c>
      <c r="S77" s="9">
        <v>2</v>
      </c>
      <c r="T77" s="9">
        <v>2</v>
      </c>
      <c r="U77" s="9">
        <v>2</v>
      </c>
      <c r="V77" s="9">
        <v>2</v>
      </c>
      <c r="W77" s="9">
        <v>2</v>
      </c>
      <c r="X77" s="10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</row>
    <row r="78" spans="1:30" x14ac:dyDescent="0.3">
      <c r="A78" s="36"/>
      <c r="B78" s="36"/>
      <c r="C78" s="29" t="s">
        <v>166</v>
      </c>
      <c r="D78" s="30"/>
      <c r="E78" s="31" t="s">
        <v>66</v>
      </c>
      <c r="F78" s="32"/>
      <c r="G78" s="9">
        <v>2</v>
      </c>
      <c r="H78" s="9">
        <v>2</v>
      </c>
      <c r="I78" s="9">
        <v>2</v>
      </c>
      <c r="J78" s="9">
        <v>2</v>
      </c>
      <c r="K78" s="9">
        <v>2</v>
      </c>
      <c r="L78" s="9">
        <v>2</v>
      </c>
      <c r="M78" s="9">
        <v>2</v>
      </c>
      <c r="N78" s="9">
        <v>2</v>
      </c>
      <c r="O78" s="9">
        <v>2</v>
      </c>
      <c r="P78" s="9">
        <v>2</v>
      </c>
      <c r="Q78" s="9">
        <v>2</v>
      </c>
      <c r="R78" s="9">
        <v>2</v>
      </c>
      <c r="S78" s="9">
        <v>2</v>
      </c>
      <c r="T78" s="9">
        <v>2</v>
      </c>
      <c r="U78" s="9">
        <v>2</v>
      </c>
      <c r="V78" s="9">
        <v>2</v>
      </c>
      <c r="W78" s="9">
        <v>2</v>
      </c>
      <c r="X78" s="10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</row>
    <row r="79" spans="1:30" x14ac:dyDescent="0.3">
      <c r="A79" s="36"/>
      <c r="B79" s="36"/>
      <c r="C79" s="29" t="s">
        <v>167</v>
      </c>
      <c r="D79" s="30"/>
      <c r="E79" s="31" t="s">
        <v>66</v>
      </c>
      <c r="F79" s="32"/>
      <c r="G79" s="9">
        <v>3</v>
      </c>
      <c r="H79" s="9">
        <v>2</v>
      </c>
      <c r="I79" s="9">
        <v>2</v>
      </c>
      <c r="J79" s="9">
        <v>2</v>
      </c>
      <c r="K79" s="9">
        <v>2</v>
      </c>
      <c r="L79" s="9">
        <v>2</v>
      </c>
      <c r="M79" s="9">
        <v>2</v>
      </c>
      <c r="N79" s="9">
        <v>2</v>
      </c>
      <c r="O79" s="9">
        <v>2</v>
      </c>
      <c r="P79" s="9">
        <v>2</v>
      </c>
      <c r="Q79" s="9">
        <v>2</v>
      </c>
      <c r="R79" s="9">
        <v>2</v>
      </c>
      <c r="S79" s="9">
        <v>2</v>
      </c>
      <c r="T79" s="9">
        <v>2</v>
      </c>
      <c r="U79" s="9">
        <v>2</v>
      </c>
      <c r="V79" s="9">
        <v>2</v>
      </c>
      <c r="W79" s="9">
        <v>2</v>
      </c>
      <c r="X79" s="10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</row>
    <row r="80" spans="1:30" x14ac:dyDescent="0.3">
      <c r="A80" s="36"/>
      <c r="B80" s="36"/>
      <c r="C80" s="29"/>
      <c r="D80" s="30"/>
      <c r="E80" s="31"/>
      <c r="F80" s="32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2">
        <v>1</v>
      </c>
      <c r="Y80" s="9"/>
      <c r="Z80" s="9"/>
      <c r="AA80" s="9"/>
      <c r="AB80" s="9"/>
      <c r="AC80" s="9"/>
      <c r="AD80" s="9"/>
    </row>
    <row r="81" spans="1:30" x14ac:dyDescent="0.3">
      <c r="A81" s="36"/>
      <c r="B81" s="35" t="s">
        <v>28</v>
      </c>
      <c r="C81" s="29" t="s">
        <v>168</v>
      </c>
      <c r="D81" s="30"/>
      <c r="E81" s="31" t="s">
        <v>86</v>
      </c>
      <c r="F81" s="32"/>
      <c r="G81" s="9">
        <v>5</v>
      </c>
      <c r="H81" s="9">
        <v>5</v>
      </c>
      <c r="I81" s="9">
        <v>5</v>
      </c>
      <c r="J81" s="9">
        <v>5</v>
      </c>
      <c r="K81" s="9">
        <v>5</v>
      </c>
      <c r="L81" s="9">
        <v>5</v>
      </c>
      <c r="M81" s="9">
        <v>5</v>
      </c>
      <c r="N81" s="9">
        <v>5</v>
      </c>
      <c r="O81" s="9">
        <v>5</v>
      </c>
      <c r="P81" s="9">
        <v>5</v>
      </c>
      <c r="Q81" s="9">
        <v>5</v>
      </c>
      <c r="R81" s="9">
        <v>5</v>
      </c>
      <c r="S81" s="9">
        <v>5</v>
      </c>
      <c r="T81" s="9">
        <v>5</v>
      </c>
      <c r="U81" s="9">
        <v>5</v>
      </c>
      <c r="V81" s="9">
        <v>5</v>
      </c>
      <c r="W81" s="9">
        <v>5</v>
      </c>
      <c r="X81" s="9">
        <v>5</v>
      </c>
      <c r="Y81" s="10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</row>
    <row r="82" spans="1:30" x14ac:dyDescent="0.3">
      <c r="A82" s="36"/>
      <c r="B82" s="36"/>
      <c r="C82" s="29" t="s">
        <v>169</v>
      </c>
      <c r="D82" s="30"/>
      <c r="E82" s="31" t="s">
        <v>85</v>
      </c>
      <c r="F82" s="32"/>
      <c r="G82" s="9">
        <v>5</v>
      </c>
      <c r="H82" s="9">
        <v>5</v>
      </c>
      <c r="I82" s="9">
        <v>5</v>
      </c>
      <c r="J82" s="9">
        <v>5</v>
      </c>
      <c r="K82" s="9">
        <v>5</v>
      </c>
      <c r="L82" s="9">
        <v>5</v>
      </c>
      <c r="M82" s="9">
        <v>5</v>
      </c>
      <c r="N82" s="9">
        <v>5</v>
      </c>
      <c r="O82" s="9">
        <v>5</v>
      </c>
      <c r="P82" s="9">
        <v>5</v>
      </c>
      <c r="Q82" s="9">
        <v>5</v>
      </c>
      <c r="R82" s="9">
        <v>5</v>
      </c>
      <c r="S82" s="9">
        <v>5</v>
      </c>
      <c r="T82" s="9">
        <v>5</v>
      </c>
      <c r="U82" s="9">
        <v>5</v>
      </c>
      <c r="V82" s="9">
        <v>5</v>
      </c>
      <c r="W82" s="9">
        <v>5</v>
      </c>
      <c r="X82" s="9">
        <v>5</v>
      </c>
      <c r="Y82" s="10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</row>
    <row r="83" spans="1:30" x14ac:dyDescent="0.3">
      <c r="A83" s="36"/>
      <c r="B83" s="36"/>
      <c r="C83" s="29" t="s">
        <v>170</v>
      </c>
      <c r="D83" s="30"/>
      <c r="E83" s="31" t="s">
        <v>85</v>
      </c>
      <c r="F83" s="32"/>
      <c r="G83" s="9">
        <v>5</v>
      </c>
      <c r="H83" s="9">
        <v>5</v>
      </c>
      <c r="I83" s="9">
        <v>5</v>
      </c>
      <c r="J83" s="9">
        <v>5</v>
      </c>
      <c r="K83" s="9">
        <v>5</v>
      </c>
      <c r="L83" s="9">
        <v>5</v>
      </c>
      <c r="M83" s="9">
        <v>5</v>
      </c>
      <c r="N83" s="9">
        <v>5</v>
      </c>
      <c r="O83" s="9">
        <v>5</v>
      </c>
      <c r="P83" s="9">
        <v>5</v>
      </c>
      <c r="Q83" s="9">
        <v>5</v>
      </c>
      <c r="R83" s="9">
        <v>5</v>
      </c>
      <c r="S83" s="9">
        <v>5</v>
      </c>
      <c r="T83" s="9">
        <v>5</v>
      </c>
      <c r="U83" s="9">
        <v>5</v>
      </c>
      <c r="V83" s="9">
        <v>5</v>
      </c>
      <c r="W83" s="9">
        <v>5</v>
      </c>
      <c r="X83" s="9">
        <v>5</v>
      </c>
      <c r="Y83" s="10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</row>
    <row r="84" spans="1:30" x14ac:dyDescent="0.3">
      <c r="A84" s="36"/>
      <c r="B84" s="36"/>
      <c r="C84" s="29" t="s">
        <v>171</v>
      </c>
      <c r="D84" s="30"/>
      <c r="E84" s="31" t="s">
        <v>54</v>
      </c>
      <c r="F84" s="32"/>
      <c r="G84" s="9">
        <v>6</v>
      </c>
      <c r="H84" s="9">
        <v>5</v>
      </c>
      <c r="I84" s="9">
        <v>5</v>
      </c>
      <c r="J84" s="9">
        <v>5</v>
      </c>
      <c r="K84" s="9">
        <v>5</v>
      </c>
      <c r="L84" s="9">
        <v>5</v>
      </c>
      <c r="M84" s="9">
        <v>5</v>
      </c>
      <c r="N84" s="9">
        <v>5</v>
      </c>
      <c r="O84" s="9">
        <v>5</v>
      </c>
      <c r="P84" s="9">
        <v>5</v>
      </c>
      <c r="Q84" s="9">
        <v>5</v>
      </c>
      <c r="R84" s="9">
        <v>5</v>
      </c>
      <c r="S84" s="9">
        <v>5</v>
      </c>
      <c r="T84" s="9">
        <v>5</v>
      </c>
      <c r="U84" s="9">
        <v>5</v>
      </c>
      <c r="V84" s="9">
        <v>5</v>
      </c>
      <c r="W84" s="9">
        <v>5</v>
      </c>
      <c r="X84" s="9">
        <v>5</v>
      </c>
      <c r="Y84" s="10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</row>
    <row r="85" spans="1:30" x14ac:dyDescent="0.3">
      <c r="A85" s="36"/>
      <c r="B85" s="36"/>
      <c r="C85" s="29"/>
      <c r="D85" s="30"/>
      <c r="E85" s="31"/>
      <c r="F85" s="32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2">
        <v>1</v>
      </c>
      <c r="Z85" s="9"/>
      <c r="AA85" s="9"/>
      <c r="AB85" s="9"/>
      <c r="AC85" s="9"/>
      <c r="AD85" s="9"/>
    </row>
    <row r="86" spans="1:30" x14ac:dyDescent="0.3">
      <c r="A86" s="36"/>
      <c r="B86" s="36"/>
      <c r="C86" s="29" t="s">
        <v>172</v>
      </c>
      <c r="D86" s="30"/>
      <c r="E86" s="31" t="s">
        <v>54</v>
      </c>
      <c r="F86" s="32"/>
      <c r="G86" s="9">
        <v>5</v>
      </c>
      <c r="H86" s="9">
        <v>5</v>
      </c>
      <c r="I86" s="9">
        <v>5</v>
      </c>
      <c r="J86" s="9">
        <v>5</v>
      </c>
      <c r="K86" s="9">
        <v>5</v>
      </c>
      <c r="L86" s="9">
        <v>5</v>
      </c>
      <c r="M86" s="9">
        <v>5</v>
      </c>
      <c r="N86" s="9">
        <v>5</v>
      </c>
      <c r="O86" s="9">
        <v>5</v>
      </c>
      <c r="P86" s="9">
        <v>5</v>
      </c>
      <c r="Q86" s="9">
        <v>5</v>
      </c>
      <c r="R86" s="9">
        <v>5</v>
      </c>
      <c r="S86" s="9">
        <v>5</v>
      </c>
      <c r="T86" s="9">
        <v>5</v>
      </c>
      <c r="U86" s="9">
        <v>5</v>
      </c>
      <c r="V86" s="9">
        <v>5</v>
      </c>
      <c r="W86" s="9">
        <v>5</v>
      </c>
      <c r="X86" s="9">
        <v>5</v>
      </c>
      <c r="Y86" s="9">
        <v>5</v>
      </c>
      <c r="Z86" s="10">
        <v>0</v>
      </c>
      <c r="AA86" s="9">
        <v>0</v>
      </c>
      <c r="AB86" s="9">
        <v>0</v>
      </c>
      <c r="AC86" s="9">
        <v>0</v>
      </c>
      <c r="AD86" s="9">
        <v>0</v>
      </c>
    </row>
    <row r="87" spans="1:30" x14ac:dyDescent="0.3">
      <c r="A87" s="36"/>
      <c r="B87" s="36"/>
      <c r="C87" s="29" t="s">
        <v>173</v>
      </c>
      <c r="D87" s="30"/>
      <c r="E87" s="31" t="s">
        <v>56</v>
      </c>
      <c r="F87" s="32"/>
      <c r="G87" s="9">
        <v>5</v>
      </c>
      <c r="H87" s="9">
        <v>5</v>
      </c>
      <c r="I87" s="9">
        <v>5</v>
      </c>
      <c r="J87" s="9">
        <v>5</v>
      </c>
      <c r="K87" s="9">
        <v>5</v>
      </c>
      <c r="L87" s="9">
        <v>5</v>
      </c>
      <c r="M87" s="9">
        <v>5</v>
      </c>
      <c r="N87" s="9">
        <v>5</v>
      </c>
      <c r="O87" s="9">
        <v>5</v>
      </c>
      <c r="P87" s="9">
        <v>5</v>
      </c>
      <c r="Q87" s="9">
        <v>5</v>
      </c>
      <c r="R87" s="9">
        <v>5</v>
      </c>
      <c r="S87" s="9">
        <v>5</v>
      </c>
      <c r="T87" s="9">
        <v>5</v>
      </c>
      <c r="U87" s="9">
        <v>5</v>
      </c>
      <c r="V87" s="9">
        <v>5</v>
      </c>
      <c r="W87" s="9">
        <v>5</v>
      </c>
      <c r="X87" s="9">
        <v>5</v>
      </c>
      <c r="Y87" s="9">
        <v>5</v>
      </c>
      <c r="Z87" s="10">
        <v>0</v>
      </c>
      <c r="AA87" s="9">
        <v>0</v>
      </c>
      <c r="AB87" s="9">
        <v>0</v>
      </c>
      <c r="AC87" s="9">
        <v>0</v>
      </c>
      <c r="AD87" s="9">
        <v>0</v>
      </c>
    </row>
    <row r="88" spans="1:30" x14ac:dyDescent="0.3">
      <c r="A88" s="36"/>
      <c r="B88" s="36"/>
      <c r="C88" s="29" t="s">
        <v>174</v>
      </c>
      <c r="D88" s="30"/>
      <c r="E88" s="31" t="s">
        <v>56</v>
      </c>
      <c r="F88" s="32"/>
      <c r="G88" s="9">
        <v>3</v>
      </c>
      <c r="H88" s="9">
        <v>5</v>
      </c>
      <c r="I88" s="9">
        <v>5</v>
      </c>
      <c r="J88" s="9">
        <v>5</v>
      </c>
      <c r="K88" s="9">
        <v>5</v>
      </c>
      <c r="L88" s="9">
        <v>5</v>
      </c>
      <c r="M88" s="9">
        <v>5</v>
      </c>
      <c r="N88" s="9">
        <v>5</v>
      </c>
      <c r="O88" s="9">
        <v>5</v>
      </c>
      <c r="P88" s="9">
        <v>5</v>
      </c>
      <c r="Q88" s="9">
        <v>5</v>
      </c>
      <c r="R88" s="9">
        <v>5</v>
      </c>
      <c r="S88" s="9">
        <v>5</v>
      </c>
      <c r="T88" s="9">
        <v>5</v>
      </c>
      <c r="U88" s="9">
        <v>5</v>
      </c>
      <c r="V88" s="9">
        <v>5</v>
      </c>
      <c r="W88" s="9">
        <v>5</v>
      </c>
      <c r="X88" s="9">
        <v>5</v>
      </c>
      <c r="Y88" s="9">
        <v>5</v>
      </c>
      <c r="Z88" s="10">
        <v>0</v>
      </c>
      <c r="AA88" s="9">
        <v>0</v>
      </c>
      <c r="AB88" s="9">
        <v>0</v>
      </c>
      <c r="AC88" s="9">
        <v>0</v>
      </c>
      <c r="AD88" s="9">
        <v>0</v>
      </c>
    </row>
    <row r="89" spans="1:30" x14ac:dyDescent="0.3">
      <c r="A89" s="36"/>
      <c r="B89" s="36"/>
      <c r="C89" s="29"/>
      <c r="D89" s="30"/>
      <c r="E89" s="31"/>
      <c r="F89" s="32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1">
        <v>2</v>
      </c>
      <c r="AA89" s="9"/>
      <c r="AB89" s="9"/>
      <c r="AC89" s="9"/>
      <c r="AD89" s="9"/>
    </row>
    <row r="90" spans="1:30" x14ac:dyDescent="0.3">
      <c r="A90" s="36"/>
      <c r="B90" s="36"/>
      <c r="C90" s="29" t="s">
        <v>175</v>
      </c>
      <c r="D90" s="30"/>
      <c r="E90" s="31" t="s">
        <v>85</v>
      </c>
      <c r="F90" s="32"/>
      <c r="G90" s="9">
        <v>5</v>
      </c>
      <c r="H90" s="9">
        <v>5</v>
      </c>
      <c r="I90" s="9">
        <v>5</v>
      </c>
      <c r="J90" s="9">
        <v>5</v>
      </c>
      <c r="K90" s="9">
        <v>5</v>
      </c>
      <c r="L90" s="9">
        <v>5</v>
      </c>
      <c r="M90" s="9">
        <v>5</v>
      </c>
      <c r="N90" s="9">
        <v>5</v>
      </c>
      <c r="O90" s="9">
        <v>5</v>
      </c>
      <c r="P90" s="9">
        <v>5</v>
      </c>
      <c r="Q90" s="9">
        <v>5</v>
      </c>
      <c r="R90" s="9">
        <v>5</v>
      </c>
      <c r="S90" s="9">
        <v>5</v>
      </c>
      <c r="T90" s="9">
        <v>5</v>
      </c>
      <c r="U90" s="9">
        <v>5</v>
      </c>
      <c r="V90" s="9">
        <v>5</v>
      </c>
      <c r="W90" s="9">
        <v>5</v>
      </c>
      <c r="X90" s="9">
        <v>5</v>
      </c>
      <c r="Y90" s="9">
        <v>5</v>
      </c>
      <c r="Z90" s="9">
        <v>5</v>
      </c>
      <c r="AA90" s="10">
        <v>0</v>
      </c>
      <c r="AB90" s="9">
        <v>0</v>
      </c>
      <c r="AC90" s="9">
        <v>0</v>
      </c>
      <c r="AD90" s="9">
        <v>0</v>
      </c>
    </row>
    <row r="91" spans="1:30" x14ac:dyDescent="0.3">
      <c r="A91" s="36"/>
      <c r="B91" s="36"/>
      <c r="C91" s="29" t="s">
        <v>176</v>
      </c>
      <c r="D91" s="30"/>
      <c r="E91" s="31" t="s">
        <v>54</v>
      </c>
      <c r="F91" s="32"/>
      <c r="G91" s="9">
        <v>5</v>
      </c>
      <c r="H91" s="9">
        <v>5</v>
      </c>
      <c r="I91" s="9">
        <v>5</v>
      </c>
      <c r="J91" s="9">
        <v>5</v>
      </c>
      <c r="K91" s="9">
        <v>5</v>
      </c>
      <c r="L91" s="9">
        <v>5</v>
      </c>
      <c r="M91" s="9">
        <v>5</v>
      </c>
      <c r="N91" s="9">
        <v>5</v>
      </c>
      <c r="O91" s="9">
        <v>5</v>
      </c>
      <c r="P91" s="9">
        <v>5</v>
      </c>
      <c r="Q91" s="9">
        <v>5</v>
      </c>
      <c r="R91" s="9">
        <v>5</v>
      </c>
      <c r="S91" s="9">
        <v>5</v>
      </c>
      <c r="T91" s="9">
        <v>5</v>
      </c>
      <c r="U91" s="9">
        <v>5</v>
      </c>
      <c r="V91" s="9">
        <v>5</v>
      </c>
      <c r="W91" s="9">
        <v>5</v>
      </c>
      <c r="X91" s="9">
        <v>5</v>
      </c>
      <c r="Y91" s="9">
        <v>5</v>
      </c>
      <c r="Z91" s="9">
        <v>5</v>
      </c>
      <c r="AA91" s="10">
        <v>0</v>
      </c>
      <c r="AB91" s="9">
        <v>0</v>
      </c>
      <c r="AC91" s="9">
        <v>0</v>
      </c>
      <c r="AD91" s="9">
        <v>0</v>
      </c>
    </row>
    <row r="92" spans="1:30" x14ac:dyDescent="0.3">
      <c r="A92" s="36"/>
      <c r="B92" s="36"/>
      <c r="C92" s="29" t="s">
        <v>177</v>
      </c>
      <c r="D92" s="30"/>
      <c r="E92" s="31" t="s">
        <v>56</v>
      </c>
      <c r="F92" s="32"/>
      <c r="G92" s="9">
        <v>5</v>
      </c>
      <c r="H92" s="9">
        <v>5</v>
      </c>
      <c r="I92" s="9">
        <v>5</v>
      </c>
      <c r="J92" s="9">
        <v>5</v>
      </c>
      <c r="K92" s="9">
        <v>5</v>
      </c>
      <c r="L92" s="9">
        <v>5</v>
      </c>
      <c r="M92" s="9">
        <v>5</v>
      </c>
      <c r="N92" s="9">
        <v>5</v>
      </c>
      <c r="O92" s="9">
        <v>5</v>
      </c>
      <c r="P92" s="9">
        <v>5</v>
      </c>
      <c r="Q92" s="9">
        <v>5</v>
      </c>
      <c r="R92" s="9">
        <v>5</v>
      </c>
      <c r="S92" s="9">
        <v>5</v>
      </c>
      <c r="T92" s="9">
        <v>5</v>
      </c>
      <c r="U92" s="9">
        <v>5</v>
      </c>
      <c r="V92" s="9">
        <v>5</v>
      </c>
      <c r="W92" s="9">
        <v>5</v>
      </c>
      <c r="X92" s="9">
        <v>5</v>
      </c>
      <c r="Y92" s="9">
        <v>5</v>
      </c>
      <c r="Z92" s="9">
        <v>5</v>
      </c>
      <c r="AA92" s="10">
        <v>0</v>
      </c>
      <c r="AB92" s="9">
        <v>0</v>
      </c>
      <c r="AC92" s="9">
        <v>0</v>
      </c>
      <c r="AD92" s="9">
        <v>0</v>
      </c>
    </row>
    <row r="93" spans="1:30" x14ac:dyDescent="0.3">
      <c r="A93" s="36"/>
      <c r="B93" s="35" t="s">
        <v>36</v>
      </c>
      <c r="C93" s="29" t="s">
        <v>178</v>
      </c>
      <c r="D93" s="30"/>
      <c r="E93" s="31" t="s">
        <v>66</v>
      </c>
      <c r="F93" s="32"/>
      <c r="G93" s="9">
        <v>2</v>
      </c>
      <c r="H93" s="9">
        <v>2</v>
      </c>
      <c r="I93" s="9">
        <v>2</v>
      </c>
      <c r="J93" s="9">
        <v>2</v>
      </c>
      <c r="K93" s="9">
        <v>2</v>
      </c>
      <c r="L93" s="9">
        <v>2</v>
      </c>
      <c r="M93" s="9">
        <v>2</v>
      </c>
      <c r="N93" s="9">
        <v>2</v>
      </c>
      <c r="O93" s="9">
        <v>2</v>
      </c>
      <c r="P93" s="9">
        <v>2</v>
      </c>
      <c r="Q93" s="9">
        <v>2</v>
      </c>
      <c r="R93" s="9">
        <v>2</v>
      </c>
      <c r="S93" s="9">
        <v>2</v>
      </c>
      <c r="T93" s="9">
        <v>2</v>
      </c>
      <c r="U93" s="9">
        <v>2</v>
      </c>
      <c r="V93" s="9">
        <v>2</v>
      </c>
      <c r="W93" s="9">
        <v>2</v>
      </c>
      <c r="X93" s="9">
        <v>2</v>
      </c>
      <c r="Y93" s="9">
        <v>2</v>
      </c>
      <c r="Z93" s="9">
        <v>2</v>
      </c>
      <c r="AA93" s="9">
        <v>2</v>
      </c>
      <c r="AB93" s="10">
        <v>0</v>
      </c>
      <c r="AC93" s="9">
        <v>0</v>
      </c>
      <c r="AD93" s="9">
        <v>0</v>
      </c>
    </row>
    <row r="94" spans="1:30" x14ac:dyDescent="0.3">
      <c r="A94" s="36"/>
      <c r="B94" s="36"/>
      <c r="C94" s="29" t="s">
        <v>179</v>
      </c>
      <c r="D94" s="30"/>
      <c r="E94" s="31" t="s">
        <v>66</v>
      </c>
      <c r="F94" s="32"/>
      <c r="G94" s="9">
        <v>2</v>
      </c>
      <c r="H94" s="9">
        <v>2</v>
      </c>
      <c r="I94" s="9">
        <v>2</v>
      </c>
      <c r="J94" s="9">
        <v>2</v>
      </c>
      <c r="K94" s="9">
        <v>2</v>
      </c>
      <c r="L94" s="9">
        <v>2</v>
      </c>
      <c r="M94" s="9">
        <v>2</v>
      </c>
      <c r="N94" s="9">
        <v>2</v>
      </c>
      <c r="O94" s="9">
        <v>2</v>
      </c>
      <c r="P94" s="9">
        <v>2</v>
      </c>
      <c r="Q94" s="9">
        <v>2</v>
      </c>
      <c r="R94" s="9">
        <v>2</v>
      </c>
      <c r="S94" s="9">
        <v>2</v>
      </c>
      <c r="T94" s="9">
        <v>2</v>
      </c>
      <c r="U94" s="9">
        <v>2</v>
      </c>
      <c r="V94" s="9">
        <v>2</v>
      </c>
      <c r="W94" s="9">
        <v>2</v>
      </c>
      <c r="X94" s="9">
        <v>2</v>
      </c>
      <c r="Y94" s="9">
        <v>2</v>
      </c>
      <c r="Z94" s="9">
        <v>2</v>
      </c>
      <c r="AA94" s="9">
        <v>2</v>
      </c>
      <c r="AB94" s="10">
        <v>0</v>
      </c>
      <c r="AC94" s="9">
        <v>0</v>
      </c>
      <c r="AD94" s="9">
        <v>0</v>
      </c>
    </row>
    <row r="95" spans="1:30" x14ac:dyDescent="0.3">
      <c r="A95" s="36"/>
      <c r="B95" s="36"/>
      <c r="C95" s="29" t="s">
        <v>180</v>
      </c>
      <c r="D95" s="30"/>
      <c r="E95" s="31" t="s">
        <v>66</v>
      </c>
      <c r="F95" s="32"/>
      <c r="G95" s="9">
        <v>2</v>
      </c>
      <c r="H95" s="9">
        <v>2</v>
      </c>
      <c r="I95" s="9">
        <v>2</v>
      </c>
      <c r="J95" s="9">
        <v>2</v>
      </c>
      <c r="K95" s="9">
        <v>2</v>
      </c>
      <c r="L95" s="9">
        <v>2</v>
      </c>
      <c r="M95" s="9">
        <v>2</v>
      </c>
      <c r="N95" s="9">
        <v>2</v>
      </c>
      <c r="O95" s="9">
        <v>2</v>
      </c>
      <c r="P95" s="9">
        <v>2</v>
      </c>
      <c r="Q95" s="9">
        <v>2</v>
      </c>
      <c r="R95" s="9">
        <v>2</v>
      </c>
      <c r="S95" s="9">
        <v>2</v>
      </c>
      <c r="T95" s="9">
        <v>2</v>
      </c>
      <c r="U95" s="9">
        <v>2</v>
      </c>
      <c r="V95" s="9">
        <v>2</v>
      </c>
      <c r="W95" s="9">
        <v>2</v>
      </c>
      <c r="X95" s="9">
        <v>2</v>
      </c>
      <c r="Y95" s="9">
        <v>2</v>
      </c>
      <c r="Z95" s="9">
        <v>2</v>
      </c>
      <c r="AA95" s="9">
        <v>2</v>
      </c>
      <c r="AB95" s="10">
        <v>0</v>
      </c>
      <c r="AC95" s="9">
        <v>0</v>
      </c>
      <c r="AD95" s="9">
        <v>0</v>
      </c>
    </row>
    <row r="96" spans="1:30" x14ac:dyDescent="0.3">
      <c r="A96" s="36"/>
      <c r="B96" s="36"/>
      <c r="C96" s="29" t="s">
        <v>181</v>
      </c>
      <c r="D96" s="30"/>
      <c r="E96" s="31" t="s">
        <v>66</v>
      </c>
      <c r="F96" s="32"/>
      <c r="G96" s="9">
        <v>2</v>
      </c>
      <c r="H96" s="9">
        <v>2</v>
      </c>
      <c r="I96" s="9">
        <v>2</v>
      </c>
      <c r="J96" s="9">
        <v>2</v>
      </c>
      <c r="K96" s="9">
        <v>2</v>
      </c>
      <c r="L96" s="9">
        <v>2</v>
      </c>
      <c r="M96" s="9">
        <v>2</v>
      </c>
      <c r="N96" s="9">
        <v>2</v>
      </c>
      <c r="O96" s="9">
        <v>2</v>
      </c>
      <c r="P96" s="9">
        <v>2</v>
      </c>
      <c r="Q96" s="9">
        <v>2</v>
      </c>
      <c r="R96" s="9">
        <v>2</v>
      </c>
      <c r="S96" s="9">
        <v>2</v>
      </c>
      <c r="T96" s="9">
        <v>2</v>
      </c>
      <c r="U96" s="9">
        <v>2</v>
      </c>
      <c r="V96" s="9">
        <v>2</v>
      </c>
      <c r="W96" s="9">
        <v>2</v>
      </c>
      <c r="X96" s="9">
        <v>2</v>
      </c>
      <c r="Y96" s="9">
        <v>2</v>
      </c>
      <c r="Z96" s="9">
        <v>2</v>
      </c>
      <c r="AA96" s="9">
        <v>2</v>
      </c>
      <c r="AB96" s="10">
        <v>0</v>
      </c>
      <c r="AC96" s="9">
        <v>0</v>
      </c>
      <c r="AD96" s="9">
        <v>0</v>
      </c>
    </row>
    <row r="97" spans="1:30" x14ac:dyDescent="0.3">
      <c r="A97" s="36"/>
      <c r="B97" s="36"/>
      <c r="C97" s="29" t="s">
        <v>182</v>
      </c>
      <c r="D97" s="30"/>
      <c r="E97" s="31" t="s">
        <v>66</v>
      </c>
      <c r="F97" s="32"/>
      <c r="G97" s="9">
        <v>2</v>
      </c>
      <c r="H97" s="9">
        <v>2</v>
      </c>
      <c r="I97" s="9">
        <v>2</v>
      </c>
      <c r="J97" s="9">
        <v>2</v>
      </c>
      <c r="K97" s="9">
        <v>2</v>
      </c>
      <c r="L97" s="9">
        <v>2</v>
      </c>
      <c r="M97" s="9">
        <v>2</v>
      </c>
      <c r="N97" s="9">
        <v>2</v>
      </c>
      <c r="O97" s="9">
        <v>2</v>
      </c>
      <c r="P97" s="9">
        <v>2</v>
      </c>
      <c r="Q97" s="9">
        <v>2</v>
      </c>
      <c r="R97" s="9">
        <v>2</v>
      </c>
      <c r="S97" s="9">
        <v>2</v>
      </c>
      <c r="T97" s="9">
        <v>2</v>
      </c>
      <c r="U97" s="9">
        <v>2</v>
      </c>
      <c r="V97" s="9">
        <v>2</v>
      </c>
      <c r="W97" s="9">
        <v>2</v>
      </c>
      <c r="X97" s="9">
        <v>2</v>
      </c>
      <c r="Y97" s="9">
        <v>2</v>
      </c>
      <c r="Z97" s="9">
        <v>2</v>
      </c>
      <c r="AA97" s="9">
        <v>2</v>
      </c>
      <c r="AB97" s="9">
        <v>0</v>
      </c>
      <c r="AC97" s="10">
        <v>0</v>
      </c>
      <c r="AD97" s="9">
        <v>0</v>
      </c>
    </row>
    <row r="98" spans="1:30" x14ac:dyDescent="0.3">
      <c r="A98" s="36"/>
      <c r="B98" s="36"/>
      <c r="C98" s="29" t="s">
        <v>183</v>
      </c>
      <c r="D98" s="30"/>
      <c r="E98" s="31" t="s">
        <v>66</v>
      </c>
      <c r="F98" s="32"/>
      <c r="G98" s="9">
        <v>3</v>
      </c>
      <c r="H98" s="9">
        <v>2</v>
      </c>
      <c r="I98" s="9">
        <v>2</v>
      </c>
      <c r="J98" s="9">
        <v>2</v>
      </c>
      <c r="K98" s="9">
        <v>2</v>
      </c>
      <c r="L98" s="9">
        <v>2</v>
      </c>
      <c r="M98" s="9">
        <v>2</v>
      </c>
      <c r="N98" s="9">
        <v>2</v>
      </c>
      <c r="O98" s="9">
        <v>2</v>
      </c>
      <c r="P98" s="9">
        <v>2</v>
      </c>
      <c r="Q98" s="9">
        <v>2</v>
      </c>
      <c r="R98" s="9">
        <v>2</v>
      </c>
      <c r="S98" s="9">
        <v>2</v>
      </c>
      <c r="T98" s="9">
        <v>2</v>
      </c>
      <c r="U98" s="9">
        <v>2</v>
      </c>
      <c r="V98" s="9">
        <v>2</v>
      </c>
      <c r="W98" s="9">
        <v>2</v>
      </c>
      <c r="X98" s="9">
        <v>2</v>
      </c>
      <c r="Y98" s="9">
        <v>2</v>
      </c>
      <c r="Z98" s="9">
        <v>2</v>
      </c>
      <c r="AA98" s="9">
        <v>2</v>
      </c>
      <c r="AB98" s="9">
        <v>0</v>
      </c>
      <c r="AC98" s="10">
        <v>0</v>
      </c>
      <c r="AD98" s="9">
        <v>0</v>
      </c>
    </row>
    <row r="99" spans="1:30" x14ac:dyDescent="0.3">
      <c r="A99" s="36"/>
      <c r="B99" s="36"/>
      <c r="C99" s="29"/>
      <c r="D99" s="30"/>
      <c r="E99" s="31"/>
      <c r="F99" s="32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2">
        <v>1</v>
      </c>
      <c r="AD99" s="9"/>
    </row>
    <row r="100" spans="1:30" x14ac:dyDescent="0.3">
      <c r="A100" s="36"/>
      <c r="B100" s="36"/>
      <c r="C100" s="29" t="s">
        <v>184</v>
      </c>
      <c r="D100" s="30"/>
      <c r="E100" s="31" t="s">
        <v>66</v>
      </c>
      <c r="F100" s="32"/>
      <c r="G100" s="9">
        <v>2</v>
      </c>
      <c r="H100" s="9">
        <v>2</v>
      </c>
      <c r="I100" s="9">
        <v>2</v>
      </c>
      <c r="J100" s="9">
        <v>2</v>
      </c>
      <c r="K100" s="9">
        <v>2</v>
      </c>
      <c r="L100" s="9">
        <v>2</v>
      </c>
      <c r="M100" s="9">
        <v>2</v>
      </c>
      <c r="N100" s="9">
        <v>2</v>
      </c>
      <c r="O100" s="9">
        <v>2</v>
      </c>
      <c r="P100" s="9">
        <v>2</v>
      </c>
      <c r="Q100" s="9">
        <v>2</v>
      </c>
      <c r="R100" s="9">
        <v>2</v>
      </c>
      <c r="S100" s="9">
        <v>2</v>
      </c>
      <c r="T100" s="9">
        <v>2</v>
      </c>
      <c r="U100" s="9">
        <v>2</v>
      </c>
      <c r="V100" s="9">
        <v>2</v>
      </c>
      <c r="W100" s="9">
        <v>2</v>
      </c>
      <c r="X100" s="9">
        <v>2</v>
      </c>
      <c r="Y100" s="9">
        <v>2</v>
      </c>
      <c r="Z100" s="9">
        <v>2</v>
      </c>
      <c r="AA100" s="9">
        <v>2</v>
      </c>
      <c r="AB100" s="9">
        <v>2</v>
      </c>
      <c r="AC100" s="10">
        <v>0</v>
      </c>
      <c r="AD100" s="9">
        <v>0</v>
      </c>
    </row>
    <row r="101" spans="1:30" x14ac:dyDescent="0.3">
      <c r="A101" s="36"/>
      <c r="B101" s="36"/>
      <c r="C101" s="29" t="s">
        <v>185</v>
      </c>
      <c r="D101" s="30"/>
      <c r="E101" s="31" t="s">
        <v>66</v>
      </c>
      <c r="F101" s="32"/>
      <c r="G101" s="9">
        <v>2</v>
      </c>
      <c r="H101" s="9">
        <v>2</v>
      </c>
      <c r="I101" s="9">
        <v>2</v>
      </c>
      <c r="J101" s="9">
        <v>2</v>
      </c>
      <c r="K101" s="9">
        <v>2</v>
      </c>
      <c r="L101" s="9">
        <v>2</v>
      </c>
      <c r="M101" s="9">
        <v>2</v>
      </c>
      <c r="N101" s="9">
        <v>2</v>
      </c>
      <c r="O101" s="9">
        <v>2</v>
      </c>
      <c r="P101" s="9">
        <v>2</v>
      </c>
      <c r="Q101" s="9">
        <v>2</v>
      </c>
      <c r="R101" s="9">
        <v>2</v>
      </c>
      <c r="S101" s="9">
        <v>2</v>
      </c>
      <c r="T101" s="9">
        <v>2</v>
      </c>
      <c r="U101" s="9">
        <v>2</v>
      </c>
      <c r="V101" s="9">
        <v>2</v>
      </c>
      <c r="W101" s="9">
        <v>2</v>
      </c>
      <c r="X101" s="9">
        <v>2</v>
      </c>
      <c r="Y101" s="9">
        <v>2</v>
      </c>
      <c r="Z101" s="9">
        <v>2</v>
      </c>
      <c r="AA101" s="9">
        <v>2</v>
      </c>
      <c r="AB101" s="9">
        <v>2</v>
      </c>
      <c r="AC101" s="10">
        <v>0</v>
      </c>
      <c r="AD101" s="9">
        <v>0</v>
      </c>
    </row>
    <row r="102" spans="1:30" x14ac:dyDescent="0.3">
      <c r="A102" s="36"/>
      <c r="B102" s="36"/>
      <c r="C102" s="29" t="s">
        <v>186</v>
      </c>
      <c r="D102" s="30"/>
      <c r="E102" s="31" t="s">
        <v>66</v>
      </c>
      <c r="F102" s="32"/>
      <c r="G102" s="9">
        <v>2</v>
      </c>
      <c r="H102" s="9">
        <v>2</v>
      </c>
      <c r="I102" s="9">
        <v>2</v>
      </c>
      <c r="J102" s="9">
        <v>2</v>
      </c>
      <c r="K102" s="9">
        <v>2</v>
      </c>
      <c r="L102" s="9">
        <v>2</v>
      </c>
      <c r="M102" s="9">
        <v>2</v>
      </c>
      <c r="N102" s="9">
        <v>2</v>
      </c>
      <c r="O102" s="9">
        <v>2</v>
      </c>
      <c r="P102" s="9">
        <v>2</v>
      </c>
      <c r="Q102" s="9">
        <v>2</v>
      </c>
      <c r="R102" s="9">
        <v>2</v>
      </c>
      <c r="S102" s="9">
        <v>2</v>
      </c>
      <c r="T102" s="9">
        <v>2</v>
      </c>
      <c r="U102" s="9">
        <v>2</v>
      </c>
      <c r="V102" s="9">
        <v>2</v>
      </c>
      <c r="W102" s="9">
        <v>2</v>
      </c>
      <c r="X102" s="9">
        <v>2</v>
      </c>
      <c r="Y102" s="9">
        <v>2</v>
      </c>
      <c r="Z102" s="9">
        <v>2</v>
      </c>
      <c r="AA102" s="9">
        <v>2</v>
      </c>
      <c r="AB102" s="9">
        <v>2</v>
      </c>
      <c r="AC102" s="10">
        <v>0</v>
      </c>
      <c r="AD102" s="9">
        <v>0</v>
      </c>
    </row>
    <row r="103" spans="1:30" x14ac:dyDescent="0.3">
      <c r="A103" s="36"/>
      <c r="B103" s="36"/>
      <c r="C103" s="29" t="s">
        <v>187</v>
      </c>
      <c r="D103" s="30"/>
      <c r="E103" s="31" t="s">
        <v>66</v>
      </c>
      <c r="F103" s="32"/>
      <c r="G103" s="9">
        <v>2</v>
      </c>
      <c r="H103" s="9">
        <v>2</v>
      </c>
      <c r="I103" s="9">
        <v>2</v>
      </c>
      <c r="J103" s="9">
        <v>2</v>
      </c>
      <c r="K103" s="9">
        <v>2</v>
      </c>
      <c r="L103" s="9">
        <v>2</v>
      </c>
      <c r="M103" s="9">
        <v>2</v>
      </c>
      <c r="N103" s="9">
        <v>2</v>
      </c>
      <c r="O103" s="9">
        <v>2</v>
      </c>
      <c r="P103" s="9">
        <v>2</v>
      </c>
      <c r="Q103" s="9">
        <v>2</v>
      </c>
      <c r="R103" s="9">
        <v>2</v>
      </c>
      <c r="S103" s="9">
        <v>2</v>
      </c>
      <c r="T103" s="9">
        <v>2</v>
      </c>
      <c r="U103" s="9">
        <v>2</v>
      </c>
      <c r="V103" s="9">
        <v>2</v>
      </c>
      <c r="W103" s="9">
        <v>2</v>
      </c>
      <c r="X103" s="9">
        <v>2</v>
      </c>
      <c r="Y103" s="9">
        <v>2</v>
      </c>
      <c r="Z103" s="9">
        <v>2</v>
      </c>
      <c r="AA103" s="9">
        <v>2</v>
      </c>
      <c r="AB103" s="9">
        <v>2</v>
      </c>
      <c r="AC103" s="10">
        <v>0</v>
      </c>
      <c r="AD103" s="9">
        <v>0</v>
      </c>
    </row>
    <row r="104" spans="1:30" x14ac:dyDescent="0.3">
      <c r="A104" s="36"/>
      <c r="B104" s="35" t="s">
        <v>31</v>
      </c>
      <c r="C104" s="29" t="s">
        <v>37</v>
      </c>
      <c r="D104" s="30"/>
      <c r="E104" s="40" t="s">
        <v>44</v>
      </c>
      <c r="F104" s="41"/>
      <c r="G104" s="9">
        <v>5</v>
      </c>
      <c r="H104" s="9">
        <v>5</v>
      </c>
      <c r="I104" s="9">
        <v>5</v>
      </c>
      <c r="J104" s="9">
        <v>5</v>
      </c>
      <c r="K104" s="9">
        <v>5</v>
      </c>
      <c r="L104" s="9">
        <v>5</v>
      </c>
      <c r="M104" s="9">
        <v>5</v>
      </c>
      <c r="N104" s="9">
        <v>5</v>
      </c>
      <c r="O104" s="9">
        <v>5</v>
      </c>
      <c r="P104" s="9">
        <v>5</v>
      </c>
      <c r="Q104" s="9">
        <v>5</v>
      </c>
      <c r="R104" s="9">
        <v>5</v>
      </c>
      <c r="S104" s="9">
        <v>5</v>
      </c>
      <c r="T104" s="9">
        <v>5</v>
      </c>
      <c r="U104" s="9">
        <v>5</v>
      </c>
      <c r="V104" s="9">
        <v>5</v>
      </c>
      <c r="W104" s="9">
        <v>5</v>
      </c>
      <c r="X104" s="9">
        <v>5</v>
      </c>
      <c r="Y104" s="9">
        <v>5</v>
      </c>
      <c r="Z104" s="9">
        <v>5</v>
      </c>
      <c r="AA104" s="9">
        <v>5</v>
      </c>
      <c r="AB104" s="9">
        <v>5</v>
      </c>
      <c r="AC104" s="9">
        <v>5</v>
      </c>
      <c r="AD104" s="10">
        <v>0</v>
      </c>
    </row>
    <row r="105" spans="1:30" x14ac:dyDescent="0.3">
      <c r="A105" s="36"/>
      <c r="B105" s="37"/>
      <c r="C105" s="29" t="s">
        <v>38</v>
      </c>
      <c r="D105" s="30"/>
      <c r="E105" s="40" t="s">
        <v>44</v>
      </c>
      <c r="F105" s="41"/>
      <c r="G105" s="9">
        <v>5</v>
      </c>
      <c r="H105" s="9">
        <v>5</v>
      </c>
      <c r="I105" s="9">
        <v>5</v>
      </c>
      <c r="J105" s="9">
        <v>5</v>
      </c>
      <c r="K105" s="9">
        <v>5</v>
      </c>
      <c r="L105" s="9">
        <v>5</v>
      </c>
      <c r="M105" s="9">
        <v>5</v>
      </c>
      <c r="N105" s="9">
        <v>5</v>
      </c>
      <c r="O105" s="9">
        <v>5</v>
      </c>
      <c r="P105" s="9">
        <v>5</v>
      </c>
      <c r="Q105" s="9">
        <v>5</v>
      </c>
      <c r="R105" s="9">
        <v>5</v>
      </c>
      <c r="S105" s="9">
        <v>5</v>
      </c>
      <c r="T105" s="9">
        <v>5</v>
      </c>
      <c r="U105" s="9">
        <v>5</v>
      </c>
      <c r="V105" s="9">
        <v>5</v>
      </c>
      <c r="W105" s="9">
        <v>5</v>
      </c>
      <c r="X105" s="9">
        <v>5</v>
      </c>
      <c r="Y105" s="9">
        <v>5</v>
      </c>
      <c r="Z105" s="9">
        <v>5</v>
      </c>
      <c r="AA105" s="9">
        <v>5</v>
      </c>
      <c r="AB105" s="9">
        <v>5</v>
      </c>
      <c r="AC105" s="9">
        <v>5</v>
      </c>
      <c r="AD105" s="10">
        <v>0</v>
      </c>
    </row>
    <row r="106" spans="1:30" x14ac:dyDescent="0.3">
      <c r="A106" s="36"/>
      <c r="B106" s="51" t="s">
        <v>12</v>
      </c>
      <c r="C106" s="52"/>
      <c r="D106" s="53"/>
      <c r="E106" s="38" t="s">
        <v>11</v>
      </c>
      <c r="F106" s="39"/>
      <c r="G106" s="9">
        <f>SUM(G16:G105)</f>
        <v>248</v>
      </c>
      <c r="H106" s="9">
        <f>SUM(H16:H105)</f>
        <v>246</v>
      </c>
      <c r="I106" s="9">
        <f>SUM(I16:I105)</f>
        <v>245</v>
      </c>
      <c r="J106" s="9">
        <f>SUM(J16:J105)</f>
        <v>231</v>
      </c>
      <c r="K106" s="9">
        <f>SUM(K16:K105)-K23</f>
        <v>227</v>
      </c>
      <c r="L106" s="9">
        <f>SUM(L16:L105)</f>
        <v>219</v>
      </c>
      <c r="M106" s="9">
        <f>SUM(M16:M105)</f>
        <v>213</v>
      </c>
      <c r="N106" s="9">
        <f>SUM(N16:N105)-N40</f>
        <v>205</v>
      </c>
      <c r="O106" s="9">
        <f>SUM(O16:O105)-O46</f>
        <v>185</v>
      </c>
      <c r="P106" s="9">
        <f>SUM(P16:P105)</f>
        <v>175</v>
      </c>
      <c r="Q106" s="9">
        <f>SUM(Q16:Q105)-Q51</f>
        <v>170</v>
      </c>
      <c r="R106" s="9">
        <f>SUM(R16:R105)</f>
        <v>150</v>
      </c>
      <c r="S106" s="9">
        <f>SUM(S16:S105)</f>
        <v>140</v>
      </c>
      <c r="T106" s="9">
        <f>SUM(T16:T105)</f>
        <v>135</v>
      </c>
      <c r="U106" s="9">
        <f>SUM(U16:U105)+U60</f>
        <v>127</v>
      </c>
      <c r="V106" s="9">
        <f>SUM(V16:V105)-V67+V63</f>
        <v>109</v>
      </c>
      <c r="W106" s="9">
        <f>SUM(W16:W105)+W74</f>
        <v>94</v>
      </c>
      <c r="X106" s="9">
        <f>SUM(X16:X105)-X80</f>
        <v>80</v>
      </c>
      <c r="Y106" s="9">
        <f>SUM(Y16:Y105)-Y85</f>
        <v>60</v>
      </c>
      <c r="Z106" s="9">
        <f>SUM(Y16:Z105)+Z89</f>
        <v>110</v>
      </c>
      <c r="AA106" s="9">
        <f>SUM(AA16:AA105)</f>
        <v>30</v>
      </c>
      <c r="AB106" s="9">
        <f>SUM(AB16:AB105)</f>
        <v>18</v>
      </c>
      <c r="AC106" s="9">
        <f>SUM(AC16:AC105)-AC99</f>
        <v>10</v>
      </c>
      <c r="AD106" s="9">
        <f>SUM(AD16:AD105)</f>
        <v>0</v>
      </c>
    </row>
    <row r="107" spans="1:30" x14ac:dyDescent="0.3">
      <c r="A107" s="37"/>
      <c r="B107" s="63"/>
      <c r="C107" s="60"/>
      <c r="D107" s="61"/>
      <c r="E107" s="38" t="s">
        <v>45</v>
      </c>
      <c r="F107" s="39"/>
      <c r="G107" s="9">
        <f>SUM(G16:G105)</f>
        <v>248</v>
      </c>
      <c r="H107" s="9">
        <f>SUM(H16:H105)</f>
        <v>246</v>
      </c>
      <c r="I107" s="9">
        <f>SUM(I16:I105)</f>
        <v>245</v>
      </c>
      <c r="J107" s="9">
        <f>SUM(J16:J105)</f>
        <v>231</v>
      </c>
      <c r="K107" s="9">
        <f>SUM(K16:K105)</f>
        <v>228</v>
      </c>
      <c r="L107" s="9">
        <f>SUM(L16:L105)</f>
        <v>219</v>
      </c>
      <c r="M107" s="9">
        <f>SUM(M16:M105)</f>
        <v>213</v>
      </c>
      <c r="N107" s="9">
        <f>SUM(N16:N105)</f>
        <v>206</v>
      </c>
      <c r="O107" s="9">
        <f>SUM(O16:O105)</f>
        <v>186</v>
      </c>
      <c r="P107" s="9">
        <f>SUM(P16:P105)</f>
        <v>175</v>
      </c>
      <c r="Q107" s="9">
        <f>SUM(Q16:Q105)</f>
        <v>171</v>
      </c>
      <c r="R107" s="9">
        <f>SUM(R16:R105)</f>
        <v>150</v>
      </c>
      <c r="S107" s="9">
        <f>SUM(S16:S105)</f>
        <v>140</v>
      </c>
      <c r="T107" s="9">
        <f>SUM(T16:T105)</f>
        <v>135</v>
      </c>
      <c r="U107" s="9">
        <f>SUM(U16:U105)</f>
        <v>126</v>
      </c>
      <c r="V107" s="9">
        <f>SUM(V16:V105)</f>
        <v>108</v>
      </c>
      <c r="W107" s="9">
        <f>SUM(W16:W105)</f>
        <v>92</v>
      </c>
      <c r="X107" s="9">
        <f>SUM(X16:X105)</f>
        <v>81</v>
      </c>
      <c r="Y107" s="9">
        <f>SUM(Y16:Y105)</f>
        <v>61</v>
      </c>
      <c r="Z107" s="9">
        <f>SUM(Y16:Z105)</f>
        <v>108</v>
      </c>
      <c r="AA107" s="9">
        <f>SUM(AA16:AA105)</f>
        <v>30</v>
      </c>
      <c r="AB107" s="9">
        <f>SUM(AB16:AB105)</f>
        <v>18</v>
      </c>
      <c r="AC107" s="9">
        <f>SUM(AC16:AC105)</f>
        <v>11</v>
      </c>
      <c r="AD107" s="9">
        <f>SUM(AD16:AD105)</f>
        <v>0</v>
      </c>
    </row>
    <row r="108" spans="1:30" x14ac:dyDescent="0.3">
      <c r="B108" s="54"/>
      <c r="C108" s="62"/>
      <c r="D108" s="62"/>
    </row>
  </sheetData>
  <mergeCells count="198">
    <mergeCell ref="E99:F99"/>
    <mergeCell ref="B69:B80"/>
    <mergeCell ref="E40:F40"/>
    <mergeCell ref="C46:D46"/>
    <mergeCell ref="E46:F46"/>
    <mergeCell ref="C51:D51"/>
    <mergeCell ref="E51:F51"/>
    <mergeCell ref="C60:D60"/>
    <mergeCell ref="E60:F60"/>
    <mergeCell ref="E63:F63"/>
    <mergeCell ref="E67:F67"/>
    <mergeCell ref="E104:F104"/>
    <mergeCell ref="C105:D105"/>
    <mergeCell ref="E105:F105"/>
    <mergeCell ref="B106:D107"/>
    <mergeCell ref="E106:F106"/>
    <mergeCell ref="E107:F107"/>
    <mergeCell ref="C108:D108"/>
    <mergeCell ref="E95:F95"/>
    <mergeCell ref="B93:B103"/>
    <mergeCell ref="C93:D93"/>
    <mergeCell ref="E93:F93"/>
    <mergeCell ref="C94:D94"/>
    <mergeCell ref="E94:F94"/>
    <mergeCell ref="C95:D95"/>
    <mergeCell ref="C96:D96"/>
    <mergeCell ref="E96:F96"/>
    <mergeCell ref="C97:D97"/>
    <mergeCell ref="E97:F97"/>
    <mergeCell ref="C98:D98"/>
    <mergeCell ref="E98:F98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A16:A107"/>
    <mergeCell ref="B19:B30"/>
    <mergeCell ref="C19:D19"/>
    <mergeCell ref="B43:B68"/>
    <mergeCell ref="B81:B92"/>
    <mergeCell ref="B104:B105"/>
    <mergeCell ref="C104:D104"/>
    <mergeCell ref="C40:D40"/>
    <mergeCell ref="C74:D74"/>
    <mergeCell ref="C80:D80"/>
    <mergeCell ref="C85:D85"/>
    <mergeCell ref="C89:D89"/>
    <mergeCell ref="C99:D99"/>
    <mergeCell ref="C29:D29"/>
    <mergeCell ref="E28:F28"/>
    <mergeCell ref="E29:F29"/>
    <mergeCell ref="C37:D37"/>
    <mergeCell ref="C39:D39"/>
    <mergeCell ref="E37:F37"/>
    <mergeCell ref="E39:F39"/>
    <mergeCell ref="C38:D38"/>
    <mergeCell ref="E38:F38"/>
    <mergeCell ref="C33:D33"/>
    <mergeCell ref="E35:F35"/>
    <mergeCell ref="C32:D32"/>
    <mergeCell ref="C34:D34"/>
    <mergeCell ref="C35:D35"/>
    <mergeCell ref="C36:D36"/>
    <mergeCell ref="B18:D18"/>
    <mergeCell ref="E18:F18"/>
    <mergeCell ref="E65:F65"/>
    <mergeCell ref="C71:D71"/>
    <mergeCell ref="E71:F71"/>
    <mergeCell ref="C81:D81"/>
    <mergeCell ref="C83:D83"/>
    <mergeCell ref="E83:F83"/>
    <mergeCell ref="C79:D79"/>
    <mergeCell ref="E79:F79"/>
    <mergeCell ref="E33:F33"/>
    <mergeCell ref="B31:B42"/>
    <mergeCell ref="C42:D42"/>
    <mergeCell ref="E42:F42"/>
    <mergeCell ref="C44:D44"/>
    <mergeCell ref="E44:F44"/>
    <mergeCell ref="C49:D49"/>
    <mergeCell ref="E49:F49"/>
    <mergeCell ref="C56:D56"/>
    <mergeCell ref="C68:D68"/>
    <mergeCell ref="C69:D69"/>
    <mergeCell ref="E27:F27"/>
    <mergeCell ref="C28:D28"/>
    <mergeCell ref="E62:F62"/>
    <mergeCell ref="E48:F48"/>
    <mergeCell ref="E50:F50"/>
    <mergeCell ref="E52:F52"/>
    <mergeCell ref="E53:F53"/>
    <mergeCell ref="C65:D65"/>
    <mergeCell ref="E61:F61"/>
    <mergeCell ref="E77:F77"/>
    <mergeCell ref="C70:D70"/>
    <mergeCell ref="E78:F78"/>
    <mergeCell ref="E75:F75"/>
    <mergeCell ref="C76:D76"/>
    <mergeCell ref="C77:D77"/>
    <mergeCell ref="C78:D78"/>
    <mergeCell ref="E69:F69"/>
    <mergeCell ref="E76:F76"/>
    <mergeCell ref="E70:F70"/>
    <mergeCell ref="C86:D86"/>
    <mergeCell ref="C88:D88"/>
    <mergeCell ref="C41:D41"/>
    <mergeCell ref="C43:D43"/>
    <mergeCell ref="C45:D45"/>
    <mergeCell ref="C58:D58"/>
    <mergeCell ref="C59:D59"/>
    <mergeCell ref="C62:D62"/>
    <mergeCell ref="C63:D63"/>
    <mergeCell ref="C50:D50"/>
    <mergeCell ref="C47:D47"/>
    <mergeCell ref="C48:D48"/>
    <mergeCell ref="C87:D87"/>
    <mergeCell ref="C64:D64"/>
    <mergeCell ref="C66:D66"/>
    <mergeCell ref="C61:D61"/>
    <mergeCell ref="C52:D52"/>
    <mergeCell ref="C53:D53"/>
    <mergeCell ref="C54:D54"/>
    <mergeCell ref="C55:D55"/>
    <mergeCell ref="C57:D57"/>
    <mergeCell ref="E56:F56"/>
    <mergeCell ref="E66:F66"/>
    <mergeCell ref="E64:F64"/>
    <mergeCell ref="E55:F55"/>
    <mergeCell ref="E57:F57"/>
    <mergeCell ref="E58:F58"/>
    <mergeCell ref="E59:F59"/>
    <mergeCell ref="C25:D25"/>
    <mergeCell ref="C26:D26"/>
    <mergeCell ref="C82:D82"/>
    <mergeCell ref="C84:D84"/>
    <mergeCell ref="C90:D90"/>
    <mergeCell ref="C91:D91"/>
    <mergeCell ref="C92:D92"/>
    <mergeCell ref="C73:D73"/>
    <mergeCell ref="C75:D75"/>
    <mergeCell ref="C31:D31"/>
    <mergeCell ref="C67:D67"/>
    <mergeCell ref="C27:D27"/>
    <mergeCell ref="B13:C13"/>
    <mergeCell ref="E16:F16"/>
    <mergeCell ref="E17:F17"/>
    <mergeCell ref="E19:F19"/>
    <mergeCell ref="E20:F20"/>
    <mergeCell ref="C15:D15"/>
    <mergeCell ref="E15:F15"/>
    <mergeCell ref="B16:D16"/>
    <mergeCell ref="B17:D17"/>
    <mergeCell ref="C20:D20"/>
    <mergeCell ref="E21:F21"/>
    <mergeCell ref="E22:F22"/>
    <mergeCell ref="E24:F24"/>
    <mergeCell ref="E25:F25"/>
    <mergeCell ref="E26:F26"/>
    <mergeCell ref="C21:D21"/>
    <mergeCell ref="C22:D22"/>
    <mergeCell ref="C24:D24"/>
    <mergeCell ref="A1:B1"/>
    <mergeCell ref="A2:B2"/>
    <mergeCell ref="A3:B3"/>
    <mergeCell ref="A4:B4"/>
    <mergeCell ref="B6:E6"/>
    <mergeCell ref="C72:D72"/>
    <mergeCell ref="E36:F36"/>
    <mergeCell ref="E41:F41"/>
    <mergeCell ref="E43:F43"/>
    <mergeCell ref="E45:F45"/>
    <mergeCell ref="E47:F47"/>
    <mergeCell ref="E31:F31"/>
    <mergeCell ref="E32:F32"/>
    <mergeCell ref="E34:F34"/>
    <mergeCell ref="E68:F68"/>
    <mergeCell ref="E54:F54"/>
    <mergeCell ref="C30:D30"/>
    <mergeCell ref="E30:F30"/>
    <mergeCell ref="E90:F90"/>
    <mergeCell ref="E91:F91"/>
    <mergeCell ref="E92:F92"/>
    <mergeCell ref="E86:F86"/>
    <mergeCell ref="E87:F87"/>
    <mergeCell ref="E81:F81"/>
    <mergeCell ref="E72:F72"/>
    <mergeCell ref="E73:F73"/>
    <mergeCell ref="E82:F82"/>
    <mergeCell ref="E84:F84"/>
    <mergeCell ref="E88:F88"/>
    <mergeCell ref="E74:F74"/>
    <mergeCell ref="E80:F80"/>
    <mergeCell ref="E85:F85"/>
    <mergeCell ref="E89:F89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2"/>
  <sheetViews>
    <sheetView topLeftCell="B1" zoomScale="82" zoomScaleNormal="70" workbookViewId="0">
      <selection activeCell="B7" sqref="B7"/>
    </sheetView>
  </sheetViews>
  <sheetFormatPr defaultColWidth="9.109375" defaultRowHeight="16.8" x14ac:dyDescent="0.3"/>
  <cols>
    <col min="1" max="1" width="16" style="1" customWidth="1"/>
    <col min="2" max="2" width="34.77734375" style="1" customWidth="1"/>
    <col min="3" max="3" width="55.44140625" style="1" customWidth="1"/>
    <col min="4" max="5" width="11" style="1" customWidth="1"/>
    <col min="6" max="6" width="22.77734375" style="1" customWidth="1"/>
    <col min="7" max="8" width="6.109375" style="1" customWidth="1"/>
    <col min="9" max="9" width="6" style="1" customWidth="1"/>
    <col min="10" max="13" width="6.109375" style="1" customWidth="1"/>
    <col min="14" max="14" width="6" style="1" customWidth="1"/>
    <col min="15" max="15" width="6.109375" style="1" customWidth="1"/>
    <col min="16" max="20" width="6" style="1" customWidth="1"/>
    <col min="21" max="23" width="6.109375" style="1" customWidth="1"/>
    <col min="24" max="24" width="6" style="1" customWidth="1"/>
    <col min="25" max="25" width="6.109375" style="1" customWidth="1"/>
    <col min="26" max="26" width="6" style="1" customWidth="1"/>
    <col min="27" max="27" width="5.88671875" style="1" customWidth="1"/>
    <col min="28" max="28" width="6.109375" style="1" customWidth="1"/>
    <col min="29" max="31" width="6" style="1" customWidth="1"/>
    <col min="32" max="16384" width="9.109375" style="1"/>
  </cols>
  <sheetData>
    <row r="1" spans="1:24" ht="33.6" x14ac:dyDescent="0.3">
      <c r="A1" s="64" t="s">
        <v>3</v>
      </c>
      <c r="B1" s="65"/>
      <c r="C1" s="55" t="s">
        <v>59</v>
      </c>
      <c r="D1" s="54"/>
      <c r="E1" s="10"/>
      <c r="F1" s="56" t="s">
        <v>51</v>
      </c>
    </row>
    <row r="2" spans="1:24" x14ac:dyDescent="0.3">
      <c r="A2" s="64" t="s">
        <v>2</v>
      </c>
      <c r="B2" s="65"/>
      <c r="C2" s="9" t="s">
        <v>33</v>
      </c>
      <c r="D2" s="54"/>
      <c r="E2" s="12"/>
      <c r="F2" s="57" t="s">
        <v>50</v>
      </c>
    </row>
    <row r="3" spans="1:24" x14ac:dyDescent="0.3">
      <c r="A3" s="64" t="s">
        <v>1</v>
      </c>
      <c r="B3" s="65"/>
      <c r="C3" s="58" t="s">
        <v>137</v>
      </c>
      <c r="D3" s="54"/>
      <c r="E3" s="11"/>
      <c r="F3" s="59" t="s">
        <v>49</v>
      </c>
    </row>
    <row r="4" spans="1:24" ht="17.25" customHeight="1" x14ac:dyDescent="0.3">
      <c r="A4" s="64" t="s">
        <v>0</v>
      </c>
      <c r="B4" s="65"/>
      <c r="C4" s="58">
        <v>46208</v>
      </c>
      <c r="D4" s="54"/>
      <c r="E4" s="54"/>
      <c r="F4" s="54"/>
    </row>
    <row r="5" spans="1:24" ht="16.5" customHeight="1" thickBot="1" x14ac:dyDescent="0.35"/>
    <row r="6" spans="1:24" ht="17.399999999999999" thickBot="1" x14ac:dyDescent="0.35">
      <c r="B6" s="33" t="s">
        <v>34</v>
      </c>
      <c r="C6" s="33"/>
      <c r="D6" s="33"/>
      <c r="E6" s="33"/>
    </row>
    <row r="7" spans="1:24" ht="17.399999999999999" thickBot="1" x14ac:dyDescent="0.35">
      <c r="B7" s="4" t="s">
        <v>6</v>
      </c>
      <c r="C7" s="4" t="s">
        <v>46</v>
      </c>
      <c r="D7" s="4" t="s">
        <v>11</v>
      </c>
      <c r="E7" s="4" t="s">
        <v>45</v>
      </c>
    </row>
    <row r="8" spans="1:24" ht="17.399999999999999" thickBot="1" x14ac:dyDescent="0.35">
      <c r="B8" s="5">
        <v>1</v>
      </c>
      <c r="C8" s="2" t="s">
        <v>136</v>
      </c>
      <c r="D8" s="2">
        <f ca="1">SUMIF($E$16:$F$89,"Thành",$G$16:$G$89)
+SUMIF($E$16:$F$89,"All team",$G$16:$G$89)/5
+SUMIF($E$16:$F$89,"Thành, Phương, Việt, Tấn",$G$16:$G$89)/4</f>
        <v>47.5</v>
      </c>
      <c r="E8" s="2">
        <f ca="1">SUMIF($E$16:$F$89,"Thành",$H$16:$H$89)
+SUMIF($E$16:$F$89,"All team",$H$16:$H$89)/5
+SUMIF($E$16:$F$89,"Thành, Phương, Việt, Tấn",$H$16:$H$89)/4</f>
        <v>48.5</v>
      </c>
    </row>
    <row r="9" spans="1:24" ht="17.399999999999999" thickBot="1" x14ac:dyDescent="0.35">
      <c r="B9" s="5">
        <v>2</v>
      </c>
      <c r="C9" s="2" t="s">
        <v>61</v>
      </c>
      <c r="D9" s="2">
        <f ca="1">SUMIF($E$16:$F$89,"Nữ",$G$16:$G$89)
+SUMIF($E$16:$F$89,"All team",$G$16:$G$89)/5</f>
        <v>83</v>
      </c>
      <c r="E9" s="2">
        <f ca="1">SUMIF($E$16:$F$89,"Nữ",$H$16:$H$89)
+SUMIF($E$16:$F$89,"All team",$H$16:$H$89)/5</f>
        <v>83</v>
      </c>
    </row>
    <row r="10" spans="1:24" ht="17.399999999999999" thickBot="1" x14ac:dyDescent="0.35">
      <c r="B10" s="5">
        <v>3</v>
      </c>
      <c r="C10" s="2" t="s">
        <v>62</v>
      </c>
      <c r="D10" s="2">
        <f ca="1">SUMIF($E$16:$F$89,"Phương",$G$16:$G$89)
+SUMIF($E$16:$F$89,"All team",$G$16:$G$89)/5
+SUMIF($E$16:$F$89,"Thành, Phương, Việt, Tấn",$G$16:$G$89)/4</f>
        <v>48.5</v>
      </c>
      <c r="E10" s="2">
        <f ca="1">SUMIF($E$16:$F$89,"Phương",$H$16:$H$89)
+SUMIF($E$16:$F$89,"All team",$H$16:$H$89)/5
+SUMIF($E$16:$F$89,"Thành, Phương, Việt, Tấn",$H$16:$H$89)/4</f>
        <v>48.5</v>
      </c>
    </row>
    <row r="11" spans="1:24" ht="17.399999999999999" thickBot="1" x14ac:dyDescent="0.35">
      <c r="B11" s="5">
        <v>4</v>
      </c>
      <c r="C11" s="2" t="s">
        <v>63</v>
      </c>
      <c r="D11" s="2">
        <f ca="1">SUMIF($E$16:$F$89,"Tấn",$G$16:$G$89)
+SUMIF($E$16:$F$89,"All team",$G$16:$G$89)/5
+SUMIF($E$16:$F$89,"Thành, Phương, Việt, Tấn",$G$16:$G$89)/4</f>
        <v>47.5</v>
      </c>
      <c r="E11" s="2">
        <f ca="1">SUMIF($E$16:$F$89,"Tấn",$H$16:$H$89)
+SUMIF($E$16:$F$89,"All team",$H$16:$H$89)/5
+SUMIF($E$16:$F$89,"Thành, Phương, Việt, Tấn",$H$16:$H$89)/4</f>
        <v>47.5</v>
      </c>
    </row>
    <row r="12" spans="1:24" ht="17.399999999999999" thickBot="1" x14ac:dyDescent="0.35">
      <c r="B12" s="5">
        <v>5</v>
      </c>
      <c r="C12" s="2" t="s">
        <v>64</v>
      </c>
      <c r="D12" s="2">
        <f ca="1">SUMIF($E$16:$F$89,"Việt",$G$16:$G$89)
+SUMIF($E$16:$F$89,"All team",$G$16:$G$89)/5
+SUMIF($E$16:$F$89,"Thành, Phương, Việt, Tấn",$G$16:$G$89)/4</f>
        <v>48.5</v>
      </c>
      <c r="E12" s="2">
        <f ca="1">SUMIF($E$16:$F$89,"Việt",$H$16:$H$89)
+SUMIF($E$16:$F$89,"All team",$H$16:$H$89)/5
+SUMIF($E$16:$F$89,"Thành, Phương, Việt, Tấn",$H$16:$H$89)/4</f>
        <v>48.5</v>
      </c>
    </row>
    <row r="13" spans="1:24" ht="17.399999999999999" thickBot="1" x14ac:dyDescent="0.35">
      <c r="B13" s="33" t="s">
        <v>12</v>
      </c>
      <c r="C13" s="33"/>
      <c r="D13" s="3">
        <f ca="1">SUM(D8:D12)</f>
        <v>275</v>
      </c>
      <c r="E13" s="3">
        <f ca="1">SUM(E8:E12)</f>
        <v>276</v>
      </c>
    </row>
    <row r="15" spans="1:24" ht="62.25" customHeight="1" x14ac:dyDescent="0.3">
      <c r="A15" s="6" t="s">
        <v>7</v>
      </c>
      <c r="B15" s="6" t="s">
        <v>8</v>
      </c>
      <c r="C15" s="34" t="s">
        <v>9</v>
      </c>
      <c r="D15" s="34"/>
      <c r="E15" s="34" t="s">
        <v>10</v>
      </c>
      <c r="F15" s="34"/>
      <c r="G15" s="7" t="s">
        <v>11</v>
      </c>
      <c r="H15" s="7" t="s">
        <v>45</v>
      </c>
      <c r="I15" s="8">
        <v>46134</v>
      </c>
      <c r="J15" s="8">
        <v>46135</v>
      </c>
      <c r="K15" s="8">
        <v>46136</v>
      </c>
      <c r="L15" s="8">
        <v>46137</v>
      </c>
      <c r="M15" s="8">
        <v>46138</v>
      </c>
      <c r="N15" s="8">
        <v>46139</v>
      </c>
      <c r="O15" s="8">
        <v>46140</v>
      </c>
      <c r="P15" s="8">
        <v>46141</v>
      </c>
      <c r="Q15" s="8">
        <v>46142</v>
      </c>
      <c r="R15" s="8">
        <v>46143</v>
      </c>
      <c r="S15" s="8">
        <v>46144</v>
      </c>
      <c r="T15" s="8">
        <v>46145</v>
      </c>
      <c r="U15" s="8">
        <v>46146</v>
      </c>
      <c r="V15" s="8">
        <v>46147</v>
      </c>
      <c r="W15" s="8">
        <v>46148</v>
      </c>
      <c r="X15" s="8">
        <v>46149</v>
      </c>
    </row>
    <row r="16" spans="1:24" x14ac:dyDescent="0.3">
      <c r="A16" s="35" t="s">
        <v>33</v>
      </c>
      <c r="B16" s="29" t="s">
        <v>13</v>
      </c>
      <c r="C16" s="42"/>
      <c r="D16" s="30"/>
      <c r="E16" s="31" t="s">
        <v>44</v>
      </c>
      <c r="F16" s="32"/>
      <c r="G16" s="9">
        <v>5</v>
      </c>
      <c r="H16" s="9">
        <v>5</v>
      </c>
      <c r="I16" s="9">
        <v>5</v>
      </c>
      <c r="J16" s="10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1:24" x14ac:dyDescent="0.3">
      <c r="A17" s="36"/>
      <c r="B17" s="29" t="s">
        <v>40</v>
      </c>
      <c r="C17" s="42"/>
      <c r="D17" s="30"/>
      <c r="E17" s="31" t="s">
        <v>208</v>
      </c>
      <c r="F17" s="32"/>
      <c r="G17" s="9">
        <v>6</v>
      </c>
      <c r="H17" s="9">
        <v>5</v>
      </c>
      <c r="I17" s="9">
        <v>5</v>
      </c>
      <c r="J17" s="10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1:24" x14ac:dyDescent="0.3">
      <c r="A18" s="36"/>
      <c r="B18" s="25"/>
      <c r="C18" s="27"/>
      <c r="D18" s="26"/>
      <c r="E18" s="23"/>
      <c r="F18" s="24"/>
      <c r="G18" s="9"/>
      <c r="H18" s="9"/>
      <c r="I18" s="9"/>
      <c r="J18" s="12">
        <v>1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1:24" x14ac:dyDescent="0.3">
      <c r="A19" s="36"/>
      <c r="B19" s="29" t="s">
        <v>15</v>
      </c>
      <c r="C19" s="42"/>
      <c r="D19" s="30"/>
      <c r="E19" s="31" t="s">
        <v>66</v>
      </c>
      <c r="F19" s="32"/>
      <c r="G19" s="9">
        <v>2</v>
      </c>
      <c r="H19" s="9">
        <v>2</v>
      </c>
      <c r="I19" s="9">
        <v>2</v>
      </c>
      <c r="J19" s="10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1:24" x14ac:dyDescent="0.3">
      <c r="A20" s="36"/>
      <c r="B20" s="35" t="s">
        <v>17</v>
      </c>
      <c r="C20" s="29" t="s">
        <v>209</v>
      </c>
      <c r="D20" s="30"/>
      <c r="E20" s="31" t="s">
        <v>66</v>
      </c>
      <c r="F20" s="32"/>
      <c r="G20" s="9">
        <v>2</v>
      </c>
      <c r="H20" s="9">
        <v>2</v>
      </c>
      <c r="I20" s="9">
        <v>2</v>
      </c>
      <c r="J20" s="10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1:24" x14ac:dyDescent="0.3">
      <c r="A21" s="36"/>
      <c r="B21" s="36"/>
      <c r="C21" s="29" t="s">
        <v>210</v>
      </c>
      <c r="D21" s="30"/>
      <c r="E21" s="31" t="s">
        <v>66</v>
      </c>
      <c r="F21" s="32"/>
      <c r="G21" s="9">
        <v>2</v>
      </c>
      <c r="H21" s="9">
        <v>2</v>
      </c>
      <c r="I21" s="9">
        <v>2</v>
      </c>
      <c r="J21" s="10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1:24" x14ac:dyDescent="0.3">
      <c r="A22" s="36"/>
      <c r="B22" s="36"/>
      <c r="C22" s="29" t="s">
        <v>211</v>
      </c>
      <c r="D22" s="30"/>
      <c r="E22" s="31" t="s">
        <v>66</v>
      </c>
      <c r="F22" s="32"/>
      <c r="G22" s="9">
        <v>1</v>
      </c>
      <c r="H22" s="9">
        <v>1</v>
      </c>
      <c r="I22" s="9">
        <v>1</v>
      </c>
      <c r="J22" s="10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1:24" x14ac:dyDescent="0.3">
      <c r="A23" s="36"/>
      <c r="B23" s="36"/>
      <c r="C23" s="29" t="s">
        <v>212</v>
      </c>
      <c r="D23" s="30"/>
      <c r="E23" s="31" t="s">
        <v>66</v>
      </c>
      <c r="F23" s="32"/>
      <c r="G23" s="9">
        <v>1</v>
      </c>
      <c r="H23" s="9">
        <v>1</v>
      </c>
      <c r="I23" s="9">
        <v>1</v>
      </c>
      <c r="J23" s="9">
        <v>1</v>
      </c>
      <c r="K23" s="10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1:24" x14ac:dyDescent="0.3">
      <c r="A24" s="36"/>
      <c r="B24" s="36"/>
      <c r="C24" s="29" t="s">
        <v>213</v>
      </c>
      <c r="D24" s="30"/>
      <c r="E24" s="31" t="s">
        <v>66</v>
      </c>
      <c r="F24" s="32"/>
      <c r="G24" s="9">
        <v>1</v>
      </c>
      <c r="H24" s="9">
        <v>1</v>
      </c>
      <c r="I24" s="9">
        <v>1</v>
      </c>
      <c r="J24" s="9">
        <v>1</v>
      </c>
      <c r="K24" s="10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1:24" x14ac:dyDescent="0.3">
      <c r="A25" s="36"/>
      <c r="B25" s="36"/>
      <c r="C25" s="29" t="s">
        <v>214</v>
      </c>
      <c r="D25" s="30"/>
      <c r="E25" s="31" t="s">
        <v>66</v>
      </c>
      <c r="F25" s="32"/>
      <c r="G25" s="9">
        <v>1</v>
      </c>
      <c r="H25" s="9">
        <v>1</v>
      </c>
      <c r="I25" s="9">
        <v>1</v>
      </c>
      <c r="J25" s="9">
        <v>1</v>
      </c>
      <c r="K25" s="10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1:24" x14ac:dyDescent="0.3">
      <c r="A26" s="36"/>
      <c r="B26" s="36"/>
      <c r="C26" s="29" t="s">
        <v>215</v>
      </c>
      <c r="D26" s="30"/>
      <c r="E26" s="31" t="s">
        <v>66</v>
      </c>
      <c r="F26" s="32"/>
      <c r="G26" s="9">
        <v>2</v>
      </c>
      <c r="H26" s="9">
        <v>1</v>
      </c>
      <c r="I26" s="9">
        <v>1</v>
      </c>
      <c r="J26" s="9">
        <v>1</v>
      </c>
      <c r="K26" s="10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1:24" x14ac:dyDescent="0.3">
      <c r="A27" s="36"/>
      <c r="B27" s="36"/>
      <c r="C27" s="25"/>
      <c r="D27" s="26"/>
      <c r="E27" s="23"/>
      <c r="F27" s="24"/>
      <c r="G27" s="9"/>
      <c r="H27" s="9"/>
      <c r="I27" s="9"/>
      <c r="J27" s="9"/>
      <c r="K27" s="12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1:24" x14ac:dyDescent="0.3">
      <c r="A28" s="36"/>
      <c r="B28" s="36"/>
      <c r="C28" s="29" t="s">
        <v>216</v>
      </c>
      <c r="D28" s="30"/>
      <c r="E28" s="31" t="s">
        <v>66</v>
      </c>
      <c r="F28" s="32"/>
      <c r="G28" s="9">
        <v>1</v>
      </c>
      <c r="H28" s="9">
        <v>1</v>
      </c>
      <c r="I28" s="9">
        <v>1</v>
      </c>
      <c r="J28" s="9">
        <v>1</v>
      </c>
      <c r="K28" s="9">
        <v>1</v>
      </c>
      <c r="L28" s="10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1:24" x14ac:dyDescent="0.3">
      <c r="A29" s="36"/>
      <c r="B29" s="36"/>
      <c r="C29" s="29" t="s">
        <v>41</v>
      </c>
      <c r="D29" s="30"/>
      <c r="E29" s="31" t="s">
        <v>44</v>
      </c>
      <c r="F29" s="32"/>
      <c r="G29" s="9">
        <v>5</v>
      </c>
      <c r="H29" s="9">
        <v>5</v>
      </c>
      <c r="I29" s="9">
        <v>5</v>
      </c>
      <c r="J29" s="9">
        <v>5</v>
      </c>
      <c r="K29" s="9">
        <v>5</v>
      </c>
      <c r="L29" s="10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  <row r="30" spans="1:24" x14ac:dyDescent="0.3">
      <c r="A30" s="36"/>
      <c r="B30" s="35" t="s">
        <v>21</v>
      </c>
      <c r="C30" s="29" t="s">
        <v>217</v>
      </c>
      <c r="D30" s="30"/>
      <c r="E30" s="31" t="s">
        <v>56</v>
      </c>
      <c r="F30" s="32"/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10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</row>
    <row r="31" spans="1:24" x14ac:dyDescent="0.3">
      <c r="A31" s="36"/>
      <c r="B31" s="36"/>
      <c r="C31" s="29" t="s">
        <v>218</v>
      </c>
      <c r="D31" s="30"/>
      <c r="E31" s="31" t="s">
        <v>85</v>
      </c>
      <c r="F31" s="32"/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10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</row>
    <row r="32" spans="1:24" x14ac:dyDescent="0.3">
      <c r="A32" s="36"/>
      <c r="B32" s="36"/>
      <c r="C32" s="29" t="s">
        <v>219</v>
      </c>
      <c r="D32" s="30"/>
      <c r="E32" s="31" t="s">
        <v>54</v>
      </c>
      <c r="F32" s="32"/>
      <c r="G32" s="9">
        <v>1</v>
      </c>
      <c r="H32" s="9">
        <v>1</v>
      </c>
      <c r="I32" s="9">
        <v>1</v>
      </c>
      <c r="J32" s="9">
        <v>1</v>
      </c>
      <c r="K32" s="9">
        <v>1</v>
      </c>
      <c r="L32" s="10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</row>
    <row r="33" spans="1:24" x14ac:dyDescent="0.3">
      <c r="A33" s="36"/>
      <c r="B33" s="36"/>
      <c r="C33" s="29" t="s">
        <v>220</v>
      </c>
      <c r="D33" s="30"/>
      <c r="E33" s="31" t="s">
        <v>85</v>
      </c>
      <c r="F33" s="32"/>
      <c r="G33" s="9">
        <v>2</v>
      </c>
      <c r="H33" s="9">
        <v>1</v>
      </c>
      <c r="I33" s="9">
        <v>1</v>
      </c>
      <c r="J33" s="9">
        <v>1</v>
      </c>
      <c r="K33" s="9">
        <v>1</v>
      </c>
      <c r="L33" s="10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</row>
    <row r="34" spans="1:24" x14ac:dyDescent="0.3">
      <c r="A34" s="36"/>
      <c r="B34" s="36"/>
      <c r="C34" s="25"/>
      <c r="D34" s="26"/>
      <c r="E34" s="23"/>
      <c r="F34" s="24"/>
      <c r="G34" s="9"/>
      <c r="H34" s="9"/>
      <c r="I34" s="9"/>
      <c r="J34" s="9"/>
      <c r="K34" s="9"/>
      <c r="L34" s="12">
        <v>1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</row>
    <row r="35" spans="1:24" x14ac:dyDescent="0.3">
      <c r="A35" s="36"/>
      <c r="B35" s="36"/>
      <c r="C35" s="29" t="s">
        <v>221</v>
      </c>
      <c r="D35" s="30"/>
      <c r="E35" s="31" t="s">
        <v>86</v>
      </c>
      <c r="F35" s="32"/>
      <c r="G35" s="9">
        <v>1</v>
      </c>
      <c r="H35" s="9">
        <v>1</v>
      </c>
      <c r="I35" s="9">
        <v>1</v>
      </c>
      <c r="J35" s="9">
        <v>1</v>
      </c>
      <c r="K35" s="9">
        <v>1</v>
      </c>
      <c r="L35" s="9">
        <v>1</v>
      </c>
      <c r="M35" s="10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</row>
    <row r="36" spans="1:24" ht="18.600000000000001" customHeight="1" x14ac:dyDescent="0.3">
      <c r="A36" s="36"/>
      <c r="B36" s="36"/>
      <c r="C36" s="29" t="s">
        <v>222</v>
      </c>
      <c r="D36" s="30"/>
      <c r="E36" s="31" t="s">
        <v>56</v>
      </c>
      <c r="F36" s="32"/>
      <c r="G36" s="9">
        <v>1</v>
      </c>
      <c r="H36" s="9">
        <v>2</v>
      </c>
      <c r="I36" s="9">
        <v>2</v>
      </c>
      <c r="J36" s="9">
        <v>2</v>
      </c>
      <c r="K36" s="9">
        <v>2</v>
      </c>
      <c r="L36" s="9">
        <v>2</v>
      </c>
      <c r="M36" s="10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</row>
    <row r="37" spans="1:24" ht="18.600000000000001" customHeight="1" x14ac:dyDescent="0.3">
      <c r="A37" s="36"/>
      <c r="B37" s="36"/>
      <c r="C37" s="25"/>
      <c r="D37" s="26"/>
      <c r="E37" s="23"/>
      <c r="F37" s="24"/>
      <c r="G37" s="9"/>
      <c r="H37" s="9"/>
      <c r="I37" s="9"/>
      <c r="J37" s="9"/>
      <c r="K37" s="9"/>
      <c r="L37" s="9"/>
      <c r="M37" s="11">
        <v>1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</row>
    <row r="38" spans="1:24" x14ac:dyDescent="0.3">
      <c r="A38" s="36"/>
      <c r="B38" s="36"/>
      <c r="C38" s="29" t="s">
        <v>223</v>
      </c>
      <c r="D38" s="30"/>
      <c r="E38" s="31" t="s">
        <v>54</v>
      </c>
      <c r="F38" s="32"/>
      <c r="G38" s="9">
        <v>2</v>
      </c>
      <c r="H38" s="9">
        <v>2</v>
      </c>
      <c r="I38" s="9">
        <v>2</v>
      </c>
      <c r="J38" s="9">
        <v>2</v>
      </c>
      <c r="K38" s="9">
        <v>2</v>
      </c>
      <c r="L38" s="9">
        <v>2</v>
      </c>
      <c r="M38" s="9">
        <v>2</v>
      </c>
      <c r="N38" s="10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</row>
    <row r="39" spans="1:24" x14ac:dyDescent="0.3">
      <c r="A39" s="36"/>
      <c r="B39" s="36"/>
      <c r="C39" s="29" t="s">
        <v>224</v>
      </c>
      <c r="D39" s="30"/>
      <c r="E39" s="31" t="s">
        <v>86</v>
      </c>
      <c r="F39" s="32"/>
      <c r="G39" s="9">
        <v>2</v>
      </c>
      <c r="H39" s="9">
        <v>2</v>
      </c>
      <c r="I39" s="9">
        <v>2</v>
      </c>
      <c r="J39" s="9">
        <v>2</v>
      </c>
      <c r="K39" s="9">
        <v>2</v>
      </c>
      <c r="L39" s="9">
        <v>2</v>
      </c>
      <c r="M39" s="9">
        <v>2</v>
      </c>
      <c r="N39" s="10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</row>
    <row r="40" spans="1:24" x14ac:dyDescent="0.3">
      <c r="A40" s="36"/>
      <c r="B40" s="36"/>
      <c r="C40" s="29" t="s">
        <v>19</v>
      </c>
      <c r="D40" s="30"/>
      <c r="E40" s="31" t="s">
        <v>44</v>
      </c>
      <c r="F40" s="32"/>
      <c r="G40" s="9">
        <v>5</v>
      </c>
      <c r="H40" s="9">
        <v>5</v>
      </c>
      <c r="I40" s="9">
        <v>5</v>
      </c>
      <c r="J40" s="9">
        <v>5</v>
      </c>
      <c r="K40" s="9">
        <v>5</v>
      </c>
      <c r="L40" s="9">
        <v>5</v>
      </c>
      <c r="M40" s="9">
        <v>5</v>
      </c>
      <c r="N40" s="10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</row>
    <row r="41" spans="1:24" x14ac:dyDescent="0.3">
      <c r="A41" s="36"/>
      <c r="B41" s="35" t="s">
        <v>24</v>
      </c>
      <c r="C41" s="29" t="s">
        <v>241</v>
      </c>
      <c r="D41" s="30"/>
      <c r="E41" s="31" t="s">
        <v>56</v>
      </c>
      <c r="F41" s="32"/>
      <c r="G41" s="9">
        <v>6</v>
      </c>
      <c r="H41" s="9">
        <v>6</v>
      </c>
      <c r="I41" s="9">
        <v>6</v>
      </c>
      <c r="J41" s="9">
        <v>6</v>
      </c>
      <c r="K41" s="9">
        <v>6</v>
      </c>
      <c r="L41" s="9">
        <v>6</v>
      </c>
      <c r="M41" s="9">
        <v>6</v>
      </c>
      <c r="N41" s="10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</row>
    <row r="42" spans="1:24" x14ac:dyDescent="0.3">
      <c r="A42" s="36"/>
      <c r="B42" s="36"/>
      <c r="C42" s="29" t="s">
        <v>249</v>
      </c>
      <c r="D42" s="30"/>
      <c r="E42" s="31" t="s">
        <v>56</v>
      </c>
      <c r="F42" s="32"/>
      <c r="G42" s="9">
        <v>6</v>
      </c>
      <c r="H42" s="9">
        <v>6</v>
      </c>
      <c r="I42" s="9">
        <v>6</v>
      </c>
      <c r="J42" s="9">
        <v>6</v>
      </c>
      <c r="K42" s="9">
        <v>6</v>
      </c>
      <c r="L42" s="9">
        <v>6</v>
      </c>
      <c r="M42" s="9">
        <v>6</v>
      </c>
      <c r="N42" s="10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</row>
    <row r="43" spans="1:24" x14ac:dyDescent="0.3">
      <c r="A43" s="36"/>
      <c r="B43" s="36"/>
      <c r="C43" s="29" t="s">
        <v>242</v>
      </c>
      <c r="D43" s="30"/>
      <c r="E43" s="31" t="s">
        <v>54</v>
      </c>
      <c r="F43" s="32"/>
      <c r="G43" s="9">
        <v>6</v>
      </c>
      <c r="H43" s="9">
        <v>6</v>
      </c>
      <c r="I43" s="9">
        <v>6</v>
      </c>
      <c r="J43" s="9">
        <v>6</v>
      </c>
      <c r="K43" s="9">
        <v>6</v>
      </c>
      <c r="L43" s="9">
        <v>6</v>
      </c>
      <c r="M43" s="9">
        <v>6</v>
      </c>
      <c r="N43" s="10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</row>
    <row r="44" spans="1:24" x14ac:dyDescent="0.3">
      <c r="A44" s="36"/>
      <c r="B44" s="36"/>
      <c r="C44" s="29" t="s">
        <v>250</v>
      </c>
      <c r="D44" s="30"/>
      <c r="E44" s="31" t="s">
        <v>54</v>
      </c>
      <c r="F44" s="32"/>
      <c r="G44" s="9">
        <v>6</v>
      </c>
      <c r="H44" s="9">
        <v>6</v>
      </c>
      <c r="I44" s="9">
        <v>6</v>
      </c>
      <c r="J44" s="9">
        <v>6</v>
      </c>
      <c r="K44" s="9">
        <v>6</v>
      </c>
      <c r="L44" s="9">
        <v>6</v>
      </c>
      <c r="M44" s="9">
        <v>6</v>
      </c>
      <c r="N44" s="10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</row>
    <row r="45" spans="1:24" x14ac:dyDescent="0.3">
      <c r="A45" s="36"/>
      <c r="B45" s="36"/>
      <c r="C45" s="29" t="s">
        <v>243</v>
      </c>
      <c r="D45" s="30"/>
      <c r="E45" s="31" t="s">
        <v>85</v>
      </c>
      <c r="F45" s="32"/>
      <c r="G45" s="9">
        <v>6</v>
      </c>
      <c r="H45" s="9">
        <v>6</v>
      </c>
      <c r="I45" s="9">
        <v>6</v>
      </c>
      <c r="J45" s="9">
        <v>6</v>
      </c>
      <c r="K45" s="9">
        <v>6</v>
      </c>
      <c r="L45" s="9">
        <v>6</v>
      </c>
      <c r="M45" s="9">
        <v>6</v>
      </c>
      <c r="N45" s="9">
        <v>6</v>
      </c>
      <c r="O45" s="10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</row>
    <row r="46" spans="1:24" x14ac:dyDescent="0.3">
      <c r="A46" s="36"/>
      <c r="B46" s="36"/>
      <c r="C46" s="29" t="s">
        <v>251</v>
      </c>
      <c r="D46" s="30"/>
      <c r="E46" s="31" t="s">
        <v>85</v>
      </c>
      <c r="F46" s="32"/>
      <c r="G46" s="9">
        <v>5</v>
      </c>
      <c r="H46" s="9">
        <v>6</v>
      </c>
      <c r="I46" s="9">
        <v>6</v>
      </c>
      <c r="J46" s="9">
        <v>6</v>
      </c>
      <c r="K46" s="9">
        <v>6</v>
      </c>
      <c r="L46" s="9">
        <v>6</v>
      </c>
      <c r="M46" s="9">
        <v>6</v>
      </c>
      <c r="N46" s="9">
        <v>6</v>
      </c>
      <c r="O46" s="10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</row>
    <row r="47" spans="1:24" x14ac:dyDescent="0.3">
      <c r="A47" s="36"/>
      <c r="B47" s="36"/>
      <c r="C47" s="25"/>
      <c r="D47" s="26"/>
      <c r="E47" s="23"/>
      <c r="F47" s="24"/>
      <c r="G47" s="9"/>
      <c r="H47" s="9"/>
      <c r="I47" s="9"/>
      <c r="J47" s="9"/>
      <c r="K47" s="9"/>
      <c r="L47" s="9"/>
      <c r="M47" s="9"/>
      <c r="N47" s="9"/>
      <c r="O47" s="11">
        <v>1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</row>
    <row r="48" spans="1:24" x14ac:dyDescent="0.3">
      <c r="A48" s="36"/>
      <c r="B48" s="36"/>
      <c r="C48" s="29" t="s">
        <v>244</v>
      </c>
      <c r="D48" s="30"/>
      <c r="E48" s="31" t="s">
        <v>86</v>
      </c>
      <c r="F48" s="32"/>
      <c r="G48" s="9">
        <v>6</v>
      </c>
      <c r="H48" s="9">
        <v>6</v>
      </c>
      <c r="I48" s="9">
        <v>6</v>
      </c>
      <c r="J48" s="9">
        <v>6</v>
      </c>
      <c r="K48" s="9">
        <v>6</v>
      </c>
      <c r="L48" s="9">
        <v>6</v>
      </c>
      <c r="M48" s="9">
        <v>6</v>
      </c>
      <c r="N48" s="9">
        <v>6</v>
      </c>
      <c r="O48" s="9">
        <v>6</v>
      </c>
      <c r="P48" s="10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</row>
    <row r="49" spans="1:24" x14ac:dyDescent="0.3">
      <c r="A49" s="36"/>
      <c r="B49" s="36"/>
      <c r="C49" s="29" t="s">
        <v>252</v>
      </c>
      <c r="D49" s="30"/>
      <c r="E49" s="31" t="s">
        <v>86</v>
      </c>
      <c r="F49" s="32"/>
      <c r="G49" s="9">
        <v>6</v>
      </c>
      <c r="H49" s="9">
        <v>6</v>
      </c>
      <c r="I49" s="9">
        <v>6</v>
      </c>
      <c r="J49" s="9">
        <v>6</v>
      </c>
      <c r="K49" s="9">
        <v>6</v>
      </c>
      <c r="L49" s="9">
        <v>6</v>
      </c>
      <c r="M49" s="9">
        <v>6</v>
      </c>
      <c r="N49" s="9">
        <v>6</v>
      </c>
      <c r="O49" s="9">
        <v>6</v>
      </c>
      <c r="P49" s="10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</row>
    <row r="50" spans="1:24" x14ac:dyDescent="0.3">
      <c r="A50" s="36"/>
      <c r="B50" s="36"/>
      <c r="C50" s="29" t="s">
        <v>245</v>
      </c>
      <c r="D50" s="30"/>
      <c r="E50" s="31" t="s">
        <v>56</v>
      </c>
      <c r="F50" s="32"/>
      <c r="G50" s="9">
        <v>6</v>
      </c>
      <c r="H50" s="9">
        <v>6</v>
      </c>
      <c r="I50" s="9">
        <v>6</v>
      </c>
      <c r="J50" s="9">
        <v>6</v>
      </c>
      <c r="K50" s="9">
        <v>6</v>
      </c>
      <c r="L50" s="9">
        <v>6</v>
      </c>
      <c r="M50" s="9">
        <v>6</v>
      </c>
      <c r="N50" s="9">
        <v>6</v>
      </c>
      <c r="O50" s="9">
        <v>6</v>
      </c>
      <c r="P50" s="10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</row>
    <row r="51" spans="1:24" x14ac:dyDescent="0.3">
      <c r="A51" s="36"/>
      <c r="B51" s="36"/>
      <c r="C51" s="29" t="s">
        <v>253</v>
      </c>
      <c r="D51" s="30"/>
      <c r="E51" s="31" t="s">
        <v>56</v>
      </c>
      <c r="F51" s="32"/>
      <c r="G51" s="9">
        <v>7</v>
      </c>
      <c r="H51" s="9">
        <v>6</v>
      </c>
      <c r="I51" s="9">
        <v>6</v>
      </c>
      <c r="J51" s="9">
        <v>6</v>
      </c>
      <c r="K51" s="9">
        <v>6</v>
      </c>
      <c r="L51" s="9">
        <v>6</v>
      </c>
      <c r="M51" s="9">
        <v>6</v>
      </c>
      <c r="N51" s="9">
        <v>6</v>
      </c>
      <c r="O51" s="9">
        <v>6</v>
      </c>
      <c r="P51" s="9">
        <v>6</v>
      </c>
      <c r="Q51" s="10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</row>
    <row r="52" spans="1:24" x14ac:dyDescent="0.3">
      <c r="A52" s="36"/>
      <c r="B52" s="36"/>
      <c r="C52" s="25"/>
      <c r="D52" s="26"/>
      <c r="E52" s="23"/>
      <c r="F52" s="24"/>
      <c r="G52" s="9"/>
      <c r="H52" s="9"/>
      <c r="I52" s="9"/>
      <c r="J52" s="9"/>
      <c r="K52" s="9"/>
      <c r="L52" s="9"/>
      <c r="M52" s="9"/>
      <c r="N52" s="9"/>
      <c r="O52" s="9"/>
      <c r="P52" s="9"/>
      <c r="Q52" s="12">
        <v>1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</row>
    <row r="53" spans="1:24" x14ac:dyDescent="0.3">
      <c r="A53" s="36"/>
      <c r="B53" s="36"/>
      <c r="C53" s="29" t="s">
        <v>246</v>
      </c>
      <c r="D53" s="30"/>
      <c r="E53" s="31" t="s">
        <v>54</v>
      </c>
      <c r="F53" s="32"/>
      <c r="G53" s="9">
        <v>6</v>
      </c>
      <c r="H53" s="9">
        <v>6</v>
      </c>
      <c r="I53" s="9">
        <v>6</v>
      </c>
      <c r="J53" s="9">
        <v>6</v>
      </c>
      <c r="K53" s="9">
        <v>6</v>
      </c>
      <c r="L53" s="9">
        <v>6</v>
      </c>
      <c r="M53" s="9">
        <v>6</v>
      </c>
      <c r="N53" s="9">
        <v>6</v>
      </c>
      <c r="O53" s="9">
        <v>6</v>
      </c>
      <c r="P53" s="9">
        <v>6</v>
      </c>
      <c r="Q53" s="10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</row>
    <row r="54" spans="1:24" x14ac:dyDescent="0.3">
      <c r="A54" s="36"/>
      <c r="B54" s="36"/>
      <c r="C54" s="29" t="s">
        <v>254</v>
      </c>
      <c r="D54" s="30"/>
      <c r="E54" s="31" t="s">
        <v>54</v>
      </c>
      <c r="F54" s="32"/>
      <c r="G54" s="9">
        <v>5</v>
      </c>
      <c r="H54" s="9">
        <v>6</v>
      </c>
      <c r="I54" s="9">
        <v>6</v>
      </c>
      <c r="J54" s="9">
        <v>6</v>
      </c>
      <c r="K54" s="9">
        <v>6</v>
      </c>
      <c r="L54" s="9">
        <v>6</v>
      </c>
      <c r="M54" s="9">
        <v>6</v>
      </c>
      <c r="N54" s="9">
        <v>6</v>
      </c>
      <c r="O54" s="9">
        <v>6</v>
      </c>
      <c r="P54" s="9">
        <v>6</v>
      </c>
      <c r="Q54" s="10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</row>
    <row r="55" spans="1:24" x14ac:dyDescent="0.3">
      <c r="A55" s="36"/>
      <c r="B55" s="36"/>
      <c r="C55" s="25"/>
      <c r="D55" s="26"/>
      <c r="E55" s="23"/>
      <c r="F55" s="24"/>
      <c r="G55" s="9"/>
      <c r="H55" s="9"/>
      <c r="I55" s="9"/>
      <c r="J55" s="9"/>
      <c r="K55" s="9"/>
      <c r="L55" s="9"/>
      <c r="M55" s="9"/>
      <c r="N55" s="9"/>
      <c r="O55" s="9"/>
      <c r="P55" s="9"/>
      <c r="Q55" s="11">
        <v>1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</row>
    <row r="56" spans="1:24" x14ac:dyDescent="0.3">
      <c r="A56" s="36"/>
      <c r="B56" s="36"/>
      <c r="C56" s="29" t="s">
        <v>247</v>
      </c>
      <c r="D56" s="30"/>
      <c r="E56" s="31" t="s">
        <v>86</v>
      </c>
      <c r="F56" s="32"/>
      <c r="G56" s="9">
        <v>6</v>
      </c>
      <c r="H56" s="9">
        <v>6</v>
      </c>
      <c r="I56" s="9">
        <v>6</v>
      </c>
      <c r="J56" s="9">
        <v>6</v>
      </c>
      <c r="K56" s="9">
        <v>6</v>
      </c>
      <c r="L56" s="9">
        <v>6</v>
      </c>
      <c r="M56" s="9">
        <v>6</v>
      </c>
      <c r="N56" s="9">
        <v>6</v>
      </c>
      <c r="O56" s="9">
        <v>6</v>
      </c>
      <c r="P56" s="9">
        <v>6</v>
      </c>
      <c r="Q56" s="9">
        <v>6</v>
      </c>
      <c r="R56" s="10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</row>
    <row r="57" spans="1:24" x14ac:dyDescent="0.3">
      <c r="A57" s="36"/>
      <c r="B57" s="36"/>
      <c r="C57" s="29" t="s">
        <v>255</v>
      </c>
      <c r="D57" s="30"/>
      <c r="E57" s="31" t="s">
        <v>86</v>
      </c>
      <c r="F57" s="32"/>
      <c r="G57" s="9">
        <v>6</v>
      </c>
      <c r="H57" s="9">
        <v>6</v>
      </c>
      <c r="I57" s="9">
        <v>6</v>
      </c>
      <c r="J57" s="9">
        <v>6</v>
      </c>
      <c r="K57" s="9">
        <v>6</v>
      </c>
      <c r="L57" s="9">
        <v>6</v>
      </c>
      <c r="M57" s="9">
        <v>6</v>
      </c>
      <c r="N57" s="9">
        <v>6</v>
      </c>
      <c r="O57" s="9">
        <v>6</v>
      </c>
      <c r="P57" s="9">
        <v>6</v>
      </c>
      <c r="Q57" s="9">
        <v>6</v>
      </c>
      <c r="R57" s="10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</row>
    <row r="58" spans="1:24" x14ac:dyDescent="0.3">
      <c r="A58" s="36"/>
      <c r="B58" s="36"/>
      <c r="C58" s="29" t="s">
        <v>248</v>
      </c>
      <c r="D58" s="30"/>
      <c r="E58" s="31" t="s">
        <v>85</v>
      </c>
      <c r="F58" s="32"/>
      <c r="G58" s="9">
        <v>6</v>
      </c>
      <c r="H58" s="9">
        <v>6</v>
      </c>
      <c r="I58" s="9">
        <v>6</v>
      </c>
      <c r="J58" s="9">
        <v>6</v>
      </c>
      <c r="K58" s="9">
        <v>6</v>
      </c>
      <c r="L58" s="9">
        <v>6</v>
      </c>
      <c r="M58" s="9">
        <v>6</v>
      </c>
      <c r="N58" s="9">
        <v>6</v>
      </c>
      <c r="O58" s="9">
        <v>6</v>
      </c>
      <c r="P58" s="9">
        <v>6</v>
      </c>
      <c r="Q58" s="9">
        <v>6</v>
      </c>
      <c r="R58" s="10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</row>
    <row r="59" spans="1:24" x14ac:dyDescent="0.3">
      <c r="A59" s="36"/>
      <c r="B59" s="36"/>
      <c r="C59" s="29" t="s">
        <v>256</v>
      </c>
      <c r="D59" s="30"/>
      <c r="E59" s="31" t="s">
        <v>85</v>
      </c>
      <c r="F59" s="32"/>
      <c r="G59" s="9">
        <v>6</v>
      </c>
      <c r="H59" s="9">
        <v>6</v>
      </c>
      <c r="I59" s="9">
        <v>6</v>
      </c>
      <c r="J59" s="9">
        <v>6</v>
      </c>
      <c r="K59" s="9">
        <v>6</v>
      </c>
      <c r="L59" s="9">
        <v>6</v>
      </c>
      <c r="M59" s="9">
        <v>6</v>
      </c>
      <c r="N59" s="9">
        <v>6</v>
      </c>
      <c r="O59" s="9">
        <v>6</v>
      </c>
      <c r="P59" s="9">
        <v>6</v>
      </c>
      <c r="Q59" s="9">
        <v>6</v>
      </c>
      <c r="R59" s="9">
        <v>6</v>
      </c>
      <c r="S59" s="10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</row>
    <row r="60" spans="1:24" ht="18.600000000000001" customHeight="1" x14ac:dyDescent="0.3">
      <c r="A60" s="36"/>
      <c r="B60" s="36"/>
      <c r="C60" s="29" t="s">
        <v>23</v>
      </c>
      <c r="D60" s="30"/>
      <c r="E60" s="31" t="s">
        <v>107</v>
      </c>
      <c r="F60" s="32"/>
      <c r="G60" s="9">
        <v>10</v>
      </c>
      <c r="H60" s="9">
        <v>10</v>
      </c>
      <c r="I60" s="9">
        <v>10</v>
      </c>
      <c r="J60" s="9">
        <v>10</v>
      </c>
      <c r="K60" s="9">
        <v>10</v>
      </c>
      <c r="L60" s="9">
        <v>10</v>
      </c>
      <c r="M60" s="9">
        <v>10</v>
      </c>
      <c r="N60" s="9">
        <v>10</v>
      </c>
      <c r="O60" s="9">
        <v>10</v>
      </c>
      <c r="P60" s="9">
        <v>10</v>
      </c>
      <c r="Q60" s="9">
        <v>10</v>
      </c>
      <c r="R60" s="9">
        <v>10</v>
      </c>
      <c r="S60" s="9">
        <v>10</v>
      </c>
      <c r="T60" s="10">
        <v>0</v>
      </c>
      <c r="U60" s="9">
        <v>0</v>
      </c>
      <c r="V60" s="9">
        <v>0</v>
      </c>
      <c r="W60" s="9">
        <v>0</v>
      </c>
      <c r="X60" s="9">
        <v>0</v>
      </c>
    </row>
    <row r="61" spans="1:24" x14ac:dyDescent="0.3">
      <c r="A61" s="36"/>
      <c r="B61" s="35" t="s">
        <v>26</v>
      </c>
      <c r="C61" s="29" t="s">
        <v>225</v>
      </c>
      <c r="D61" s="30"/>
      <c r="E61" s="31" t="s">
        <v>66</v>
      </c>
      <c r="F61" s="32"/>
      <c r="G61" s="9">
        <v>5</v>
      </c>
      <c r="H61" s="9">
        <v>5</v>
      </c>
      <c r="I61" s="9">
        <v>5</v>
      </c>
      <c r="J61" s="9">
        <v>5</v>
      </c>
      <c r="K61" s="9">
        <v>5</v>
      </c>
      <c r="L61" s="9">
        <v>5</v>
      </c>
      <c r="M61" s="9">
        <v>5</v>
      </c>
      <c r="N61" s="9">
        <v>5</v>
      </c>
      <c r="O61" s="9">
        <v>5</v>
      </c>
      <c r="P61" s="9">
        <v>5</v>
      </c>
      <c r="Q61" s="9">
        <v>5</v>
      </c>
      <c r="R61" s="9">
        <v>5</v>
      </c>
      <c r="S61" s="9">
        <v>5</v>
      </c>
      <c r="T61" s="10">
        <v>0</v>
      </c>
      <c r="U61" s="9">
        <v>0</v>
      </c>
      <c r="V61" s="9">
        <v>0</v>
      </c>
      <c r="W61" s="9">
        <v>0</v>
      </c>
      <c r="X61" s="9">
        <v>0</v>
      </c>
    </row>
    <row r="62" spans="1:24" x14ac:dyDescent="0.3">
      <c r="A62" s="36"/>
      <c r="B62" s="36"/>
      <c r="C62" s="29" t="s">
        <v>226</v>
      </c>
      <c r="D62" s="30"/>
      <c r="E62" s="31" t="s">
        <v>66</v>
      </c>
      <c r="F62" s="32"/>
      <c r="G62" s="9">
        <v>5</v>
      </c>
      <c r="H62" s="9">
        <v>5</v>
      </c>
      <c r="I62" s="9">
        <v>5</v>
      </c>
      <c r="J62" s="9">
        <v>5</v>
      </c>
      <c r="K62" s="9">
        <v>5</v>
      </c>
      <c r="L62" s="9">
        <v>5</v>
      </c>
      <c r="M62" s="9">
        <v>5</v>
      </c>
      <c r="N62" s="9">
        <v>5</v>
      </c>
      <c r="O62" s="9">
        <v>5</v>
      </c>
      <c r="P62" s="9">
        <v>5</v>
      </c>
      <c r="Q62" s="9">
        <v>5</v>
      </c>
      <c r="R62" s="9">
        <v>5</v>
      </c>
      <c r="S62" s="9">
        <v>5</v>
      </c>
      <c r="T62" s="10">
        <v>0</v>
      </c>
      <c r="U62" s="9">
        <v>0</v>
      </c>
      <c r="V62" s="9">
        <v>0</v>
      </c>
      <c r="W62" s="9">
        <v>0</v>
      </c>
      <c r="X62" s="9">
        <v>0</v>
      </c>
    </row>
    <row r="63" spans="1:24" x14ac:dyDescent="0.3">
      <c r="A63" s="36"/>
      <c r="B63" s="36"/>
      <c r="C63" s="29" t="s">
        <v>227</v>
      </c>
      <c r="D63" s="30"/>
      <c r="E63" s="31" t="s">
        <v>66</v>
      </c>
      <c r="F63" s="32"/>
      <c r="G63" s="9">
        <v>4</v>
      </c>
      <c r="H63" s="9">
        <v>5</v>
      </c>
      <c r="I63" s="9">
        <v>5</v>
      </c>
      <c r="J63" s="9">
        <v>5</v>
      </c>
      <c r="K63" s="9">
        <v>5</v>
      </c>
      <c r="L63" s="9">
        <v>5</v>
      </c>
      <c r="M63" s="9">
        <v>5</v>
      </c>
      <c r="N63" s="9">
        <v>5</v>
      </c>
      <c r="O63" s="9">
        <v>5</v>
      </c>
      <c r="P63" s="9">
        <v>5</v>
      </c>
      <c r="Q63" s="9">
        <v>5</v>
      </c>
      <c r="R63" s="9">
        <v>5</v>
      </c>
      <c r="S63" s="9">
        <v>5</v>
      </c>
      <c r="T63" s="10">
        <v>0</v>
      </c>
      <c r="U63" s="9">
        <v>0</v>
      </c>
      <c r="V63" s="9">
        <v>0</v>
      </c>
      <c r="W63" s="9">
        <v>0</v>
      </c>
      <c r="X63" s="9">
        <v>0</v>
      </c>
    </row>
    <row r="64" spans="1:24" x14ac:dyDescent="0.3">
      <c r="A64" s="36"/>
      <c r="B64" s="36"/>
      <c r="C64" s="25"/>
      <c r="D64" s="26"/>
      <c r="E64" s="23"/>
      <c r="F64" s="24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11">
        <v>1</v>
      </c>
      <c r="U64" s="9">
        <v>0</v>
      </c>
      <c r="V64" s="9">
        <v>0</v>
      </c>
      <c r="W64" s="9">
        <v>0</v>
      </c>
      <c r="X64" s="9">
        <v>0</v>
      </c>
    </row>
    <row r="65" spans="1:24" x14ac:dyDescent="0.3">
      <c r="A65" s="36"/>
      <c r="B65" s="36"/>
      <c r="C65" s="29" t="s">
        <v>228</v>
      </c>
      <c r="D65" s="30"/>
      <c r="E65" s="31" t="s">
        <v>66</v>
      </c>
      <c r="F65" s="32"/>
      <c r="G65" s="9">
        <v>5</v>
      </c>
      <c r="H65" s="9">
        <v>5</v>
      </c>
      <c r="I65" s="9">
        <v>5</v>
      </c>
      <c r="J65" s="9">
        <v>5</v>
      </c>
      <c r="K65" s="9">
        <v>5</v>
      </c>
      <c r="L65" s="9">
        <v>5</v>
      </c>
      <c r="M65" s="9">
        <v>5</v>
      </c>
      <c r="N65" s="9">
        <v>5</v>
      </c>
      <c r="O65" s="9">
        <v>5</v>
      </c>
      <c r="P65" s="9">
        <v>5</v>
      </c>
      <c r="Q65" s="9">
        <v>5</v>
      </c>
      <c r="R65" s="9">
        <v>5</v>
      </c>
      <c r="S65" s="9">
        <v>5</v>
      </c>
      <c r="T65" s="9">
        <v>5</v>
      </c>
      <c r="U65" s="10">
        <v>0</v>
      </c>
      <c r="V65" s="9">
        <v>0</v>
      </c>
      <c r="W65" s="9">
        <v>0</v>
      </c>
      <c r="X65" s="9">
        <v>0</v>
      </c>
    </row>
    <row r="66" spans="1:24" x14ac:dyDescent="0.3">
      <c r="A66" s="36"/>
      <c r="B66" s="36"/>
      <c r="C66" s="29" t="s">
        <v>229</v>
      </c>
      <c r="D66" s="30"/>
      <c r="E66" s="31" t="s">
        <v>66</v>
      </c>
      <c r="F66" s="32"/>
      <c r="G66" s="9">
        <v>5</v>
      </c>
      <c r="H66" s="9">
        <v>5</v>
      </c>
      <c r="I66" s="9">
        <v>5</v>
      </c>
      <c r="J66" s="9">
        <v>5</v>
      </c>
      <c r="K66" s="9">
        <v>5</v>
      </c>
      <c r="L66" s="9">
        <v>5</v>
      </c>
      <c r="M66" s="9">
        <v>5</v>
      </c>
      <c r="N66" s="9">
        <v>5</v>
      </c>
      <c r="O66" s="9">
        <v>5</v>
      </c>
      <c r="P66" s="9">
        <v>5</v>
      </c>
      <c r="Q66" s="9">
        <v>5</v>
      </c>
      <c r="R66" s="9">
        <v>5</v>
      </c>
      <c r="S66" s="9">
        <v>5</v>
      </c>
      <c r="T66" s="9">
        <v>5</v>
      </c>
      <c r="U66" s="10">
        <v>0</v>
      </c>
      <c r="V66" s="9">
        <v>0</v>
      </c>
      <c r="W66" s="9">
        <v>0</v>
      </c>
      <c r="X66" s="9">
        <v>0</v>
      </c>
    </row>
    <row r="67" spans="1:24" x14ac:dyDescent="0.3">
      <c r="A67" s="36"/>
      <c r="B67" s="36"/>
      <c r="C67" s="29" t="s">
        <v>230</v>
      </c>
      <c r="D67" s="30"/>
      <c r="E67" s="31" t="s">
        <v>66</v>
      </c>
      <c r="F67" s="32"/>
      <c r="G67" s="9">
        <v>5</v>
      </c>
      <c r="H67" s="9">
        <v>5</v>
      </c>
      <c r="I67" s="9">
        <v>5</v>
      </c>
      <c r="J67" s="9">
        <v>5</v>
      </c>
      <c r="K67" s="9">
        <v>5</v>
      </c>
      <c r="L67" s="9">
        <v>5</v>
      </c>
      <c r="M67" s="9">
        <v>5</v>
      </c>
      <c r="N67" s="9">
        <v>5</v>
      </c>
      <c r="O67" s="9">
        <v>5</v>
      </c>
      <c r="P67" s="9">
        <v>5</v>
      </c>
      <c r="Q67" s="9">
        <v>5</v>
      </c>
      <c r="R67" s="9">
        <v>5</v>
      </c>
      <c r="S67" s="9">
        <v>5</v>
      </c>
      <c r="T67" s="9">
        <v>5</v>
      </c>
      <c r="U67" s="9">
        <v>5</v>
      </c>
      <c r="V67" s="10">
        <v>0</v>
      </c>
      <c r="W67" s="9">
        <v>0</v>
      </c>
      <c r="X67" s="9">
        <v>0</v>
      </c>
    </row>
    <row r="68" spans="1:24" x14ac:dyDescent="0.3">
      <c r="A68" s="36"/>
      <c r="B68" s="36"/>
      <c r="C68" s="29" t="s">
        <v>231</v>
      </c>
      <c r="D68" s="30"/>
      <c r="E68" s="31" t="s">
        <v>66</v>
      </c>
      <c r="F68" s="32"/>
      <c r="G68" s="9">
        <v>5</v>
      </c>
      <c r="H68" s="9">
        <v>5</v>
      </c>
      <c r="I68" s="9">
        <v>5</v>
      </c>
      <c r="J68" s="9">
        <v>5</v>
      </c>
      <c r="K68" s="9">
        <v>5</v>
      </c>
      <c r="L68" s="9">
        <v>5</v>
      </c>
      <c r="M68" s="9">
        <v>5</v>
      </c>
      <c r="N68" s="9">
        <v>5</v>
      </c>
      <c r="O68" s="9">
        <v>5</v>
      </c>
      <c r="P68" s="9">
        <v>5</v>
      </c>
      <c r="Q68" s="9">
        <v>5</v>
      </c>
      <c r="R68" s="9">
        <v>5</v>
      </c>
      <c r="S68" s="9">
        <v>5</v>
      </c>
      <c r="T68" s="9">
        <v>5</v>
      </c>
      <c r="U68" s="9">
        <v>5</v>
      </c>
      <c r="V68" s="10">
        <v>0</v>
      </c>
      <c r="W68" s="9">
        <v>0</v>
      </c>
      <c r="X68" s="9">
        <v>0</v>
      </c>
    </row>
    <row r="69" spans="1:24" x14ac:dyDescent="0.3">
      <c r="A69" s="36"/>
      <c r="B69" s="36"/>
      <c r="C69" s="29" t="s">
        <v>232</v>
      </c>
      <c r="D69" s="30"/>
      <c r="E69" s="31" t="s">
        <v>66</v>
      </c>
      <c r="F69" s="32"/>
      <c r="G69" s="9">
        <v>5</v>
      </c>
      <c r="H69" s="9">
        <v>5</v>
      </c>
      <c r="I69" s="9">
        <v>5</v>
      </c>
      <c r="J69" s="9">
        <v>5</v>
      </c>
      <c r="K69" s="9">
        <v>5</v>
      </c>
      <c r="L69" s="9">
        <v>5</v>
      </c>
      <c r="M69" s="9">
        <v>5</v>
      </c>
      <c r="N69" s="9">
        <v>5</v>
      </c>
      <c r="O69" s="9">
        <v>5</v>
      </c>
      <c r="P69" s="9">
        <v>5</v>
      </c>
      <c r="Q69" s="9">
        <v>5</v>
      </c>
      <c r="R69" s="9">
        <v>5</v>
      </c>
      <c r="S69" s="9">
        <v>5</v>
      </c>
      <c r="T69" s="9">
        <v>5</v>
      </c>
      <c r="U69" s="9">
        <v>5</v>
      </c>
      <c r="V69" s="10">
        <v>0</v>
      </c>
      <c r="W69" s="9">
        <v>0</v>
      </c>
      <c r="X69" s="9">
        <v>0</v>
      </c>
    </row>
    <row r="70" spans="1:24" x14ac:dyDescent="0.3">
      <c r="A70" s="36"/>
      <c r="B70" s="35" t="s">
        <v>28</v>
      </c>
      <c r="C70" s="29" t="s">
        <v>233</v>
      </c>
      <c r="D70" s="30"/>
      <c r="E70" s="31" t="s">
        <v>56</v>
      </c>
      <c r="F70" s="32"/>
      <c r="G70" s="9">
        <v>6</v>
      </c>
      <c r="H70" s="9">
        <v>6</v>
      </c>
      <c r="I70" s="9">
        <v>6</v>
      </c>
      <c r="J70" s="9">
        <v>6</v>
      </c>
      <c r="K70" s="9">
        <v>6</v>
      </c>
      <c r="L70" s="9">
        <v>6</v>
      </c>
      <c r="M70" s="9">
        <v>6</v>
      </c>
      <c r="N70" s="9">
        <v>6</v>
      </c>
      <c r="O70" s="9">
        <v>6</v>
      </c>
      <c r="P70" s="9">
        <v>6</v>
      </c>
      <c r="Q70" s="9">
        <v>6</v>
      </c>
      <c r="R70" s="9">
        <v>6</v>
      </c>
      <c r="S70" s="9">
        <v>6</v>
      </c>
      <c r="T70" s="9">
        <v>6</v>
      </c>
      <c r="U70" s="9">
        <v>6</v>
      </c>
      <c r="V70" s="10">
        <v>0</v>
      </c>
      <c r="W70" s="9">
        <v>0</v>
      </c>
      <c r="X70" s="9">
        <v>0</v>
      </c>
    </row>
    <row r="71" spans="1:24" x14ac:dyDescent="0.3">
      <c r="A71" s="36"/>
      <c r="B71" s="36"/>
      <c r="C71" s="29" t="s">
        <v>234</v>
      </c>
      <c r="D71" s="30"/>
      <c r="E71" s="31" t="s">
        <v>85</v>
      </c>
      <c r="F71" s="32"/>
      <c r="G71" s="9">
        <v>6</v>
      </c>
      <c r="H71" s="9">
        <v>6</v>
      </c>
      <c r="I71" s="9">
        <v>6</v>
      </c>
      <c r="J71" s="9">
        <v>6</v>
      </c>
      <c r="K71" s="9">
        <v>6</v>
      </c>
      <c r="L71" s="9">
        <v>6</v>
      </c>
      <c r="M71" s="9">
        <v>6</v>
      </c>
      <c r="N71" s="9">
        <v>6</v>
      </c>
      <c r="O71" s="9">
        <v>6</v>
      </c>
      <c r="P71" s="9">
        <v>6</v>
      </c>
      <c r="Q71" s="9">
        <v>6</v>
      </c>
      <c r="R71" s="9">
        <v>6</v>
      </c>
      <c r="S71" s="9">
        <v>6</v>
      </c>
      <c r="T71" s="9">
        <v>6</v>
      </c>
      <c r="U71" s="9">
        <v>6</v>
      </c>
      <c r="V71" s="10">
        <v>0</v>
      </c>
      <c r="W71" s="9">
        <v>0</v>
      </c>
      <c r="X71" s="9">
        <v>0</v>
      </c>
    </row>
    <row r="72" spans="1:24" x14ac:dyDescent="0.3">
      <c r="A72" s="36"/>
      <c r="B72" s="36"/>
      <c r="C72" s="29" t="s">
        <v>235</v>
      </c>
      <c r="D72" s="30"/>
      <c r="E72" s="31" t="s">
        <v>54</v>
      </c>
      <c r="F72" s="32"/>
      <c r="G72" s="9">
        <v>6</v>
      </c>
      <c r="H72" s="9">
        <v>6</v>
      </c>
      <c r="I72" s="9">
        <v>6</v>
      </c>
      <c r="J72" s="9">
        <v>6</v>
      </c>
      <c r="K72" s="9">
        <v>6</v>
      </c>
      <c r="L72" s="9">
        <v>6</v>
      </c>
      <c r="M72" s="9">
        <v>6</v>
      </c>
      <c r="N72" s="9">
        <v>6</v>
      </c>
      <c r="O72" s="9">
        <v>6</v>
      </c>
      <c r="P72" s="9">
        <v>6</v>
      </c>
      <c r="Q72" s="9">
        <v>6</v>
      </c>
      <c r="R72" s="9">
        <v>6</v>
      </c>
      <c r="S72" s="9">
        <v>6</v>
      </c>
      <c r="T72" s="9">
        <v>6</v>
      </c>
      <c r="U72" s="9">
        <v>6</v>
      </c>
      <c r="V72" s="10">
        <v>0</v>
      </c>
      <c r="W72" s="9">
        <v>0</v>
      </c>
      <c r="X72" s="9">
        <v>0</v>
      </c>
    </row>
    <row r="73" spans="1:24" x14ac:dyDescent="0.3">
      <c r="A73" s="36"/>
      <c r="B73" s="36"/>
      <c r="C73" s="29" t="s">
        <v>236</v>
      </c>
      <c r="D73" s="30"/>
      <c r="E73" s="31" t="s">
        <v>85</v>
      </c>
      <c r="F73" s="32"/>
      <c r="G73" s="9">
        <v>6</v>
      </c>
      <c r="H73" s="9">
        <v>6</v>
      </c>
      <c r="I73" s="9">
        <v>6</v>
      </c>
      <c r="J73" s="9">
        <v>6</v>
      </c>
      <c r="K73" s="9">
        <v>6</v>
      </c>
      <c r="L73" s="9">
        <v>6</v>
      </c>
      <c r="M73" s="9">
        <v>6</v>
      </c>
      <c r="N73" s="9">
        <v>6</v>
      </c>
      <c r="O73" s="9">
        <v>6</v>
      </c>
      <c r="P73" s="9">
        <v>6</v>
      </c>
      <c r="Q73" s="9">
        <v>6</v>
      </c>
      <c r="R73" s="9">
        <v>6</v>
      </c>
      <c r="S73" s="9">
        <v>6</v>
      </c>
      <c r="T73" s="9">
        <v>6</v>
      </c>
      <c r="U73" s="9">
        <v>6</v>
      </c>
      <c r="V73" s="10">
        <v>0</v>
      </c>
      <c r="W73" s="9">
        <v>0</v>
      </c>
      <c r="X73" s="9">
        <v>0</v>
      </c>
    </row>
    <row r="74" spans="1:24" x14ac:dyDescent="0.3">
      <c r="A74" s="36"/>
      <c r="B74" s="36"/>
      <c r="C74" s="29" t="s">
        <v>237</v>
      </c>
      <c r="D74" s="30"/>
      <c r="E74" s="31" t="s">
        <v>86</v>
      </c>
      <c r="F74" s="32"/>
      <c r="G74" s="9">
        <v>6</v>
      </c>
      <c r="H74" s="9">
        <v>6</v>
      </c>
      <c r="I74" s="9">
        <v>6</v>
      </c>
      <c r="J74" s="9">
        <v>6</v>
      </c>
      <c r="K74" s="9">
        <v>6</v>
      </c>
      <c r="L74" s="9">
        <v>6</v>
      </c>
      <c r="M74" s="9">
        <v>6</v>
      </c>
      <c r="N74" s="9">
        <v>6</v>
      </c>
      <c r="O74" s="9">
        <v>6</v>
      </c>
      <c r="P74" s="9">
        <v>6</v>
      </c>
      <c r="Q74" s="9">
        <v>6</v>
      </c>
      <c r="R74" s="9">
        <v>6</v>
      </c>
      <c r="S74" s="9">
        <v>6</v>
      </c>
      <c r="T74" s="9">
        <v>6</v>
      </c>
      <c r="U74" s="9">
        <v>6</v>
      </c>
      <c r="V74" s="10">
        <v>0</v>
      </c>
      <c r="W74" s="9">
        <v>0</v>
      </c>
      <c r="X74" s="9">
        <v>0</v>
      </c>
    </row>
    <row r="75" spans="1:24" x14ac:dyDescent="0.3">
      <c r="A75" s="36"/>
      <c r="B75" s="36"/>
      <c r="C75" s="29" t="s">
        <v>238</v>
      </c>
      <c r="D75" s="30"/>
      <c r="E75" s="31" t="s">
        <v>56</v>
      </c>
      <c r="F75" s="32"/>
      <c r="G75" s="9">
        <v>5</v>
      </c>
      <c r="H75" s="9">
        <v>6</v>
      </c>
      <c r="I75" s="9">
        <v>6</v>
      </c>
      <c r="J75" s="9">
        <v>6</v>
      </c>
      <c r="K75" s="9">
        <v>6</v>
      </c>
      <c r="L75" s="9">
        <v>6</v>
      </c>
      <c r="M75" s="9">
        <v>6</v>
      </c>
      <c r="N75" s="9">
        <v>6</v>
      </c>
      <c r="O75" s="9">
        <v>6</v>
      </c>
      <c r="P75" s="9">
        <v>6</v>
      </c>
      <c r="Q75" s="9">
        <v>6</v>
      </c>
      <c r="R75" s="9">
        <v>6</v>
      </c>
      <c r="S75" s="9">
        <v>6</v>
      </c>
      <c r="T75" s="9">
        <v>6</v>
      </c>
      <c r="U75" s="9">
        <v>6</v>
      </c>
      <c r="V75" s="10">
        <v>0</v>
      </c>
      <c r="W75" s="9">
        <v>0</v>
      </c>
      <c r="X75" s="9">
        <v>0</v>
      </c>
    </row>
    <row r="76" spans="1:24" x14ac:dyDescent="0.3">
      <c r="A76" s="36"/>
      <c r="B76" s="36"/>
      <c r="C76" s="25"/>
      <c r="D76" s="26"/>
      <c r="E76" s="23"/>
      <c r="F76" s="24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11">
        <v>1</v>
      </c>
      <c r="W76" s="9">
        <v>0</v>
      </c>
      <c r="X76" s="9">
        <v>0</v>
      </c>
    </row>
    <row r="77" spans="1:24" x14ac:dyDescent="0.3">
      <c r="A77" s="36"/>
      <c r="B77" s="36"/>
      <c r="C77" s="29" t="s">
        <v>239</v>
      </c>
      <c r="D77" s="30"/>
      <c r="E77" s="31" t="s">
        <v>54</v>
      </c>
      <c r="F77" s="32"/>
      <c r="G77" s="9">
        <v>7</v>
      </c>
      <c r="H77" s="9">
        <v>6</v>
      </c>
      <c r="I77" s="9">
        <v>6</v>
      </c>
      <c r="J77" s="9">
        <v>6</v>
      </c>
      <c r="K77" s="9">
        <v>6</v>
      </c>
      <c r="L77" s="9">
        <v>6</v>
      </c>
      <c r="M77" s="9">
        <v>6</v>
      </c>
      <c r="N77" s="9">
        <v>6</v>
      </c>
      <c r="O77" s="9">
        <v>6</v>
      </c>
      <c r="P77" s="9">
        <v>6</v>
      </c>
      <c r="Q77" s="9">
        <v>6</v>
      </c>
      <c r="R77" s="9">
        <v>6</v>
      </c>
      <c r="S77" s="9">
        <v>6</v>
      </c>
      <c r="T77" s="9">
        <v>6</v>
      </c>
      <c r="U77" s="9">
        <v>6</v>
      </c>
      <c r="V77" s="10">
        <v>0</v>
      </c>
      <c r="W77" s="9">
        <v>0</v>
      </c>
      <c r="X77" s="9">
        <v>0</v>
      </c>
    </row>
    <row r="78" spans="1:24" x14ac:dyDescent="0.3">
      <c r="A78" s="36"/>
      <c r="B78" s="36"/>
      <c r="C78" s="25"/>
      <c r="D78" s="26"/>
      <c r="E78" s="23"/>
      <c r="F78" s="24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12">
        <v>1</v>
      </c>
      <c r="W78" s="9">
        <v>0</v>
      </c>
      <c r="X78" s="9">
        <v>0</v>
      </c>
    </row>
    <row r="79" spans="1:24" x14ac:dyDescent="0.3">
      <c r="A79" s="36"/>
      <c r="B79" s="36"/>
      <c r="C79" s="29" t="s">
        <v>240</v>
      </c>
      <c r="D79" s="30"/>
      <c r="E79" s="31" t="s">
        <v>86</v>
      </c>
      <c r="F79" s="32"/>
      <c r="G79" s="9">
        <v>6</v>
      </c>
      <c r="H79" s="9">
        <v>6</v>
      </c>
      <c r="I79" s="9">
        <v>6</v>
      </c>
      <c r="J79" s="9">
        <v>6</v>
      </c>
      <c r="K79" s="9">
        <v>6</v>
      </c>
      <c r="L79" s="9">
        <v>6</v>
      </c>
      <c r="M79" s="9">
        <v>6</v>
      </c>
      <c r="N79" s="9">
        <v>6</v>
      </c>
      <c r="O79" s="9">
        <v>6</v>
      </c>
      <c r="P79" s="9">
        <v>6</v>
      </c>
      <c r="Q79" s="9">
        <v>6</v>
      </c>
      <c r="R79" s="9">
        <v>6</v>
      </c>
      <c r="S79" s="9">
        <v>6</v>
      </c>
      <c r="T79" s="9">
        <v>6</v>
      </c>
      <c r="U79" s="9">
        <v>6</v>
      </c>
      <c r="V79" s="9">
        <v>6</v>
      </c>
      <c r="W79" s="10">
        <v>0</v>
      </c>
      <c r="X79" s="9">
        <v>0</v>
      </c>
    </row>
    <row r="80" spans="1:24" x14ac:dyDescent="0.3">
      <c r="A80" s="36"/>
      <c r="B80" s="35" t="s">
        <v>36</v>
      </c>
      <c r="C80" s="29" t="s">
        <v>225</v>
      </c>
      <c r="D80" s="30"/>
      <c r="E80" s="31" t="s">
        <v>66</v>
      </c>
      <c r="F80" s="32"/>
      <c r="G80" s="9">
        <v>3</v>
      </c>
      <c r="H80" s="9">
        <v>3</v>
      </c>
      <c r="I80" s="9">
        <v>3</v>
      </c>
      <c r="J80" s="9">
        <v>3</v>
      </c>
      <c r="K80" s="9">
        <v>3</v>
      </c>
      <c r="L80" s="9">
        <v>3</v>
      </c>
      <c r="M80" s="9">
        <v>3</v>
      </c>
      <c r="N80" s="9">
        <v>3</v>
      </c>
      <c r="O80" s="9">
        <v>3</v>
      </c>
      <c r="P80" s="9">
        <v>3</v>
      </c>
      <c r="Q80" s="9">
        <v>3</v>
      </c>
      <c r="R80" s="9">
        <v>3</v>
      </c>
      <c r="S80" s="9">
        <v>3</v>
      </c>
      <c r="T80" s="9">
        <v>3</v>
      </c>
      <c r="U80" s="9">
        <v>3</v>
      </c>
      <c r="V80" s="9">
        <v>3</v>
      </c>
      <c r="W80" s="10">
        <v>0</v>
      </c>
      <c r="X80" s="9">
        <v>0</v>
      </c>
    </row>
    <row r="81" spans="1:24" x14ac:dyDescent="0.3">
      <c r="A81" s="36"/>
      <c r="B81" s="36"/>
      <c r="C81" s="29" t="s">
        <v>226</v>
      </c>
      <c r="D81" s="30"/>
      <c r="E81" s="31" t="s">
        <v>66</v>
      </c>
      <c r="F81" s="32"/>
      <c r="G81" s="9">
        <v>3</v>
      </c>
      <c r="H81" s="9">
        <v>3</v>
      </c>
      <c r="I81" s="9">
        <v>3</v>
      </c>
      <c r="J81" s="9">
        <v>3</v>
      </c>
      <c r="K81" s="9">
        <v>3</v>
      </c>
      <c r="L81" s="9">
        <v>3</v>
      </c>
      <c r="M81" s="9">
        <v>3</v>
      </c>
      <c r="N81" s="9">
        <v>3</v>
      </c>
      <c r="O81" s="9">
        <v>3</v>
      </c>
      <c r="P81" s="9">
        <v>3</v>
      </c>
      <c r="Q81" s="9">
        <v>3</v>
      </c>
      <c r="R81" s="9">
        <v>3</v>
      </c>
      <c r="S81" s="9">
        <v>3</v>
      </c>
      <c r="T81" s="9">
        <v>3</v>
      </c>
      <c r="U81" s="9">
        <v>3</v>
      </c>
      <c r="V81" s="9">
        <v>3</v>
      </c>
      <c r="W81" s="10">
        <v>0</v>
      </c>
      <c r="X81" s="9">
        <v>0</v>
      </c>
    </row>
    <row r="82" spans="1:24" x14ac:dyDescent="0.3">
      <c r="A82" s="36"/>
      <c r="B82" s="36"/>
      <c r="C82" s="29" t="s">
        <v>227</v>
      </c>
      <c r="D82" s="30"/>
      <c r="E82" s="31" t="s">
        <v>66</v>
      </c>
      <c r="F82" s="32"/>
      <c r="G82" s="9">
        <v>3</v>
      </c>
      <c r="H82" s="9">
        <v>3</v>
      </c>
      <c r="I82" s="9">
        <v>3</v>
      </c>
      <c r="J82" s="9">
        <v>3</v>
      </c>
      <c r="K82" s="9">
        <v>3</v>
      </c>
      <c r="L82" s="9">
        <v>3</v>
      </c>
      <c r="M82" s="9">
        <v>3</v>
      </c>
      <c r="N82" s="9">
        <v>3</v>
      </c>
      <c r="O82" s="9">
        <v>3</v>
      </c>
      <c r="P82" s="9">
        <v>3</v>
      </c>
      <c r="Q82" s="9">
        <v>3</v>
      </c>
      <c r="R82" s="9">
        <v>3</v>
      </c>
      <c r="S82" s="9">
        <v>3</v>
      </c>
      <c r="T82" s="9">
        <v>3</v>
      </c>
      <c r="U82" s="9">
        <v>3</v>
      </c>
      <c r="V82" s="9">
        <v>3</v>
      </c>
      <c r="W82" s="10">
        <v>0</v>
      </c>
      <c r="X82" s="9">
        <v>0</v>
      </c>
    </row>
    <row r="83" spans="1:24" x14ac:dyDescent="0.3">
      <c r="A83" s="36"/>
      <c r="B83" s="36"/>
      <c r="C83" s="29" t="s">
        <v>228</v>
      </c>
      <c r="D83" s="30"/>
      <c r="E83" s="31" t="s">
        <v>66</v>
      </c>
      <c r="F83" s="32"/>
      <c r="G83" s="9">
        <v>3</v>
      </c>
      <c r="H83" s="9">
        <v>3</v>
      </c>
      <c r="I83" s="9">
        <v>3</v>
      </c>
      <c r="J83" s="9">
        <v>3</v>
      </c>
      <c r="K83" s="9">
        <v>3</v>
      </c>
      <c r="L83" s="9">
        <v>3</v>
      </c>
      <c r="M83" s="9">
        <v>3</v>
      </c>
      <c r="N83" s="9">
        <v>3</v>
      </c>
      <c r="O83" s="9">
        <v>3</v>
      </c>
      <c r="P83" s="9">
        <v>3</v>
      </c>
      <c r="Q83" s="9">
        <v>3</v>
      </c>
      <c r="R83" s="9">
        <v>3</v>
      </c>
      <c r="S83" s="9">
        <v>3</v>
      </c>
      <c r="T83" s="9">
        <v>3</v>
      </c>
      <c r="U83" s="9">
        <v>3</v>
      </c>
      <c r="V83" s="9">
        <v>3</v>
      </c>
      <c r="W83" s="9">
        <v>3</v>
      </c>
      <c r="X83" s="10">
        <v>0</v>
      </c>
    </row>
    <row r="84" spans="1:24" x14ac:dyDescent="0.3">
      <c r="A84" s="36"/>
      <c r="B84" s="36"/>
      <c r="C84" s="29" t="s">
        <v>229</v>
      </c>
      <c r="D84" s="30"/>
      <c r="E84" s="31" t="s">
        <v>66</v>
      </c>
      <c r="F84" s="32"/>
      <c r="G84" s="9">
        <v>3</v>
      </c>
      <c r="H84" s="9">
        <v>3</v>
      </c>
      <c r="I84" s="9">
        <v>3</v>
      </c>
      <c r="J84" s="9">
        <v>3</v>
      </c>
      <c r="K84" s="9">
        <v>3</v>
      </c>
      <c r="L84" s="9">
        <v>3</v>
      </c>
      <c r="M84" s="9">
        <v>3</v>
      </c>
      <c r="N84" s="9">
        <v>3</v>
      </c>
      <c r="O84" s="9">
        <v>3</v>
      </c>
      <c r="P84" s="9">
        <v>3</v>
      </c>
      <c r="Q84" s="9">
        <v>3</v>
      </c>
      <c r="R84" s="9">
        <v>3</v>
      </c>
      <c r="S84" s="9">
        <v>3</v>
      </c>
      <c r="T84" s="9">
        <v>3</v>
      </c>
      <c r="U84" s="9">
        <v>3</v>
      </c>
      <c r="V84" s="9">
        <v>3</v>
      </c>
      <c r="W84" s="9">
        <v>3</v>
      </c>
      <c r="X84" s="10">
        <v>0</v>
      </c>
    </row>
    <row r="85" spans="1:24" x14ac:dyDescent="0.3">
      <c r="A85" s="36"/>
      <c r="B85" s="36"/>
      <c r="C85" s="29" t="s">
        <v>230</v>
      </c>
      <c r="D85" s="30"/>
      <c r="E85" s="31" t="s">
        <v>66</v>
      </c>
      <c r="F85" s="32"/>
      <c r="G85" s="9">
        <v>3</v>
      </c>
      <c r="H85" s="9">
        <v>3</v>
      </c>
      <c r="I85" s="9">
        <v>3</v>
      </c>
      <c r="J85" s="9">
        <v>3</v>
      </c>
      <c r="K85" s="9">
        <v>3</v>
      </c>
      <c r="L85" s="9">
        <v>3</v>
      </c>
      <c r="M85" s="9">
        <v>3</v>
      </c>
      <c r="N85" s="9">
        <v>3</v>
      </c>
      <c r="O85" s="9">
        <v>3</v>
      </c>
      <c r="P85" s="9">
        <v>3</v>
      </c>
      <c r="Q85" s="9">
        <v>3</v>
      </c>
      <c r="R85" s="9">
        <v>3</v>
      </c>
      <c r="S85" s="9">
        <v>3</v>
      </c>
      <c r="T85" s="9">
        <v>3</v>
      </c>
      <c r="U85" s="9">
        <v>3</v>
      </c>
      <c r="V85" s="9">
        <v>3</v>
      </c>
      <c r="W85" s="9">
        <v>3</v>
      </c>
      <c r="X85" s="10">
        <v>0</v>
      </c>
    </row>
    <row r="86" spans="1:24" x14ac:dyDescent="0.3">
      <c r="A86" s="36"/>
      <c r="B86" s="36"/>
      <c r="C86" s="29" t="s">
        <v>231</v>
      </c>
      <c r="D86" s="30"/>
      <c r="E86" s="31" t="s">
        <v>66</v>
      </c>
      <c r="F86" s="32"/>
      <c r="G86" s="9">
        <v>3</v>
      </c>
      <c r="H86" s="9">
        <v>3</v>
      </c>
      <c r="I86" s="9">
        <v>3</v>
      </c>
      <c r="J86" s="9">
        <v>3</v>
      </c>
      <c r="K86" s="9">
        <v>3</v>
      </c>
      <c r="L86" s="9">
        <v>3</v>
      </c>
      <c r="M86" s="9">
        <v>3</v>
      </c>
      <c r="N86" s="9">
        <v>3</v>
      </c>
      <c r="O86" s="9">
        <v>3</v>
      </c>
      <c r="P86" s="9">
        <v>3</v>
      </c>
      <c r="Q86" s="9">
        <v>3</v>
      </c>
      <c r="R86" s="9">
        <v>3</v>
      </c>
      <c r="S86" s="9">
        <v>3</v>
      </c>
      <c r="T86" s="9">
        <v>3</v>
      </c>
      <c r="U86" s="9">
        <v>3</v>
      </c>
      <c r="V86" s="9">
        <v>3</v>
      </c>
      <c r="W86" s="9">
        <v>3</v>
      </c>
      <c r="X86" s="10">
        <v>0</v>
      </c>
    </row>
    <row r="87" spans="1:24" x14ac:dyDescent="0.3">
      <c r="A87" s="36"/>
      <c r="B87" s="36"/>
      <c r="C87" s="29" t="s">
        <v>232</v>
      </c>
      <c r="D87" s="30"/>
      <c r="E87" s="31" t="s">
        <v>66</v>
      </c>
      <c r="F87" s="32"/>
      <c r="G87" s="9">
        <v>3</v>
      </c>
      <c r="H87" s="9">
        <v>3</v>
      </c>
      <c r="I87" s="9">
        <v>3</v>
      </c>
      <c r="J87" s="9">
        <v>3</v>
      </c>
      <c r="K87" s="9">
        <v>3</v>
      </c>
      <c r="L87" s="9">
        <v>3</v>
      </c>
      <c r="M87" s="9">
        <v>3</v>
      </c>
      <c r="N87" s="9">
        <v>3</v>
      </c>
      <c r="O87" s="9">
        <v>3</v>
      </c>
      <c r="P87" s="9">
        <v>3</v>
      </c>
      <c r="Q87" s="9">
        <v>3</v>
      </c>
      <c r="R87" s="9">
        <v>3</v>
      </c>
      <c r="S87" s="9">
        <v>3</v>
      </c>
      <c r="T87" s="9">
        <v>3</v>
      </c>
      <c r="U87" s="9">
        <v>3</v>
      </c>
      <c r="V87" s="9">
        <v>3</v>
      </c>
      <c r="W87" s="9">
        <v>3</v>
      </c>
      <c r="X87" s="10">
        <v>0</v>
      </c>
    </row>
    <row r="88" spans="1:24" x14ac:dyDescent="0.3">
      <c r="A88" s="36"/>
      <c r="B88" s="35" t="s">
        <v>31</v>
      </c>
      <c r="C88" s="29" t="s">
        <v>42</v>
      </c>
      <c r="D88" s="30"/>
      <c r="E88" s="40" t="s">
        <v>44</v>
      </c>
      <c r="F88" s="41"/>
      <c r="G88" s="9">
        <v>10</v>
      </c>
      <c r="H88" s="9">
        <v>10</v>
      </c>
      <c r="I88" s="9">
        <v>10</v>
      </c>
      <c r="J88" s="9">
        <v>10</v>
      </c>
      <c r="K88" s="9">
        <v>10</v>
      </c>
      <c r="L88" s="9">
        <v>10</v>
      </c>
      <c r="M88" s="9">
        <v>10</v>
      </c>
      <c r="N88" s="9">
        <v>10</v>
      </c>
      <c r="O88" s="9">
        <v>10</v>
      </c>
      <c r="P88" s="9">
        <v>10</v>
      </c>
      <c r="Q88" s="9">
        <v>10</v>
      </c>
      <c r="R88" s="9">
        <v>10</v>
      </c>
      <c r="S88" s="9">
        <v>10</v>
      </c>
      <c r="T88" s="9">
        <v>10</v>
      </c>
      <c r="U88" s="9">
        <v>10</v>
      </c>
      <c r="V88" s="9">
        <v>10</v>
      </c>
      <c r="W88" s="9">
        <v>10</v>
      </c>
      <c r="X88" s="10">
        <v>0</v>
      </c>
    </row>
    <row r="89" spans="1:24" x14ac:dyDescent="0.3">
      <c r="A89" s="36"/>
      <c r="B89" s="37"/>
      <c r="C89" s="29" t="s">
        <v>43</v>
      </c>
      <c r="D89" s="30"/>
      <c r="E89" s="40" t="s">
        <v>44</v>
      </c>
      <c r="F89" s="41"/>
      <c r="G89" s="9">
        <v>10</v>
      </c>
      <c r="H89" s="9">
        <v>10</v>
      </c>
      <c r="I89" s="9">
        <v>10</v>
      </c>
      <c r="J89" s="9">
        <v>10</v>
      </c>
      <c r="K89" s="9">
        <v>10</v>
      </c>
      <c r="L89" s="9">
        <v>10</v>
      </c>
      <c r="M89" s="9">
        <v>10</v>
      </c>
      <c r="N89" s="9">
        <v>10</v>
      </c>
      <c r="O89" s="9">
        <v>10</v>
      </c>
      <c r="P89" s="9">
        <v>10</v>
      </c>
      <c r="Q89" s="9">
        <v>10</v>
      </c>
      <c r="R89" s="9">
        <v>10</v>
      </c>
      <c r="S89" s="9">
        <v>10</v>
      </c>
      <c r="T89" s="9">
        <v>10</v>
      </c>
      <c r="U89" s="9">
        <v>10</v>
      </c>
      <c r="V89" s="9">
        <v>10</v>
      </c>
      <c r="W89" s="9">
        <v>10</v>
      </c>
      <c r="X89" s="10">
        <v>0</v>
      </c>
    </row>
    <row r="90" spans="1:24" x14ac:dyDescent="0.3">
      <c r="A90" s="36"/>
      <c r="B90" s="51" t="s">
        <v>12</v>
      </c>
      <c r="C90" s="52"/>
      <c r="D90" s="53"/>
      <c r="E90" s="38" t="s">
        <v>11</v>
      </c>
      <c r="F90" s="39"/>
      <c r="G90" s="9">
        <f>SUM(G16:G89)</f>
        <v>281</v>
      </c>
      <c r="H90" s="9">
        <f>SUM(H16:H89)</f>
        <v>281</v>
      </c>
      <c r="I90" s="9">
        <f>SUM(I16:I89)</f>
        <v>281</v>
      </c>
      <c r="J90" s="9">
        <f>SUM(J16:J89)-J18</f>
        <v>264</v>
      </c>
      <c r="K90" s="9">
        <f>SUM(K16:K89)-K27</f>
        <v>260</v>
      </c>
      <c r="L90" s="9">
        <f>SUM(L16:L89)-L34</f>
        <v>250</v>
      </c>
      <c r="M90" s="9">
        <f>SUM(M16:M89)+M37</f>
        <v>249</v>
      </c>
      <c r="N90" s="9">
        <f>SUM(N16:N89)</f>
        <v>214</v>
      </c>
      <c r="O90" s="9">
        <f>SUM(O16:O89)+O47</f>
        <v>204</v>
      </c>
      <c r="P90" s="9">
        <f>SUM(P16:P89)</f>
        <v>184</v>
      </c>
      <c r="Q90" s="9">
        <f>SUM(Q16:Q89)-Q52+Q55</f>
        <v>168</v>
      </c>
      <c r="R90" s="9">
        <f>SUM(R16:R89)</f>
        <v>148</v>
      </c>
      <c r="S90" s="9">
        <f>SUM(S16:S89)</f>
        <v>142</v>
      </c>
      <c r="T90" s="9">
        <f>SUM(T16:T89)+T64</f>
        <v>119</v>
      </c>
      <c r="U90" s="9">
        <f>SUM(U16:U89)</f>
        <v>107</v>
      </c>
      <c r="V90" s="9">
        <f>SUM(V16:V89)-V78+V76</f>
        <v>52</v>
      </c>
      <c r="W90" s="9">
        <f>SUM(W16:W89)</f>
        <v>35</v>
      </c>
      <c r="X90" s="9">
        <f>SUM(X16:X89)-X69</f>
        <v>0</v>
      </c>
    </row>
    <row r="91" spans="1:24" x14ac:dyDescent="0.3">
      <c r="A91" s="37"/>
      <c r="B91" s="63"/>
      <c r="C91" s="60"/>
      <c r="D91" s="61"/>
      <c r="E91" s="38" t="s">
        <v>45</v>
      </c>
      <c r="F91" s="39"/>
      <c r="G91" s="9">
        <f>SUM(G16:G89)</f>
        <v>281</v>
      </c>
      <c r="H91" s="9">
        <f>SUM(H16:H89)</f>
        <v>281</v>
      </c>
      <c r="I91" s="9">
        <f>SUM(I16:I89)</f>
        <v>281</v>
      </c>
      <c r="J91" s="9">
        <f>SUM(J16:J89)</f>
        <v>265</v>
      </c>
      <c r="K91" s="9">
        <f>SUM(K16:K89)</f>
        <v>261</v>
      </c>
      <c r="L91" s="9">
        <f>SUM(L16:L89)</f>
        <v>251</v>
      </c>
      <c r="M91" s="9">
        <f>SUM(M16:M89)</f>
        <v>248</v>
      </c>
      <c r="N91" s="9">
        <f>SUM(N16:N89)</f>
        <v>214</v>
      </c>
      <c r="O91" s="9">
        <f>SUM(O16:O89)</f>
        <v>203</v>
      </c>
      <c r="P91" s="9">
        <f>SUM(P16:P89)</f>
        <v>184</v>
      </c>
      <c r="Q91" s="9">
        <f>SUM(Q16:Q89)</f>
        <v>168</v>
      </c>
      <c r="R91" s="9">
        <f>SUM(R16:R89)</f>
        <v>148</v>
      </c>
      <c r="S91" s="9">
        <f>SUM(S16:S89)</f>
        <v>142</v>
      </c>
      <c r="T91" s="9">
        <f>SUM(T16:T89)</f>
        <v>118</v>
      </c>
      <c r="U91" s="9">
        <f>SUM(U16:U89)</f>
        <v>107</v>
      </c>
      <c r="V91" s="9">
        <f>SUM(V16:V89)</f>
        <v>52</v>
      </c>
      <c r="W91" s="9">
        <f>SUM(W16:W89)</f>
        <v>35</v>
      </c>
      <c r="X91" s="9">
        <f>SUM(X16:X89)</f>
        <v>0</v>
      </c>
    </row>
    <row r="92" spans="1:24" x14ac:dyDescent="0.3">
      <c r="B92" s="54"/>
      <c r="C92" s="62"/>
      <c r="D92" s="62"/>
    </row>
  </sheetData>
  <mergeCells count="148">
    <mergeCell ref="C92:D92"/>
    <mergeCell ref="B61:B69"/>
    <mergeCell ref="A16:A91"/>
    <mergeCell ref="B20:B29"/>
    <mergeCell ref="C20:D20"/>
    <mergeCell ref="B30:B40"/>
    <mergeCell ref="B41:B60"/>
    <mergeCell ref="B70:B79"/>
    <mergeCell ref="B80:B87"/>
    <mergeCell ref="B88:B89"/>
    <mergeCell ref="B90:D91"/>
    <mergeCell ref="C88:D88"/>
    <mergeCell ref="E88:F88"/>
    <mergeCell ref="C61:D61"/>
    <mergeCell ref="E61:F61"/>
    <mergeCell ref="C60:D60"/>
    <mergeCell ref="E60:F60"/>
    <mergeCell ref="C68:D68"/>
    <mergeCell ref="E68:F68"/>
    <mergeCell ref="C81:D81"/>
    <mergeCell ref="C79:D79"/>
    <mergeCell ref="E79:F79"/>
    <mergeCell ref="C87:D87"/>
    <mergeCell ref="E87:F87"/>
    <mergeCell ref="C30:D30"/>
    <mergeCell ref="C31:D31"/>
    <mergeCell ref="C29:D29"/>
    <mergeCell ref="E29:F29"/>
    <mergeCell ref="C42:D42"/>
    <mergeCell ref="C41:D41"/>
    <mergeCell ref="E41:F41"/>
    <mergeCell ref="E42:F42"/>
    <mergeCell ref="E36:F36"/>
    <mergeCell ref="E38:F38"/>
    <mergeCell ref="E39:F39"/>
    <mergeCell ref="C84:D84"/>
    <mergeCell ref="E80:F80"/>
    <mergeCell ref="C82:D82"/>
    <mergeCell ref="C83:D83"/>
    <mergeCell ref="C66:D66"/>
    <mergeCell ref="C67:D67"/>
    <mergeCell ref="C70:D70"/>
    <mergeCell ref="E67:F67"/>
    <mergeCell ref="E70:F70"/>
    <mergeCell ref="E66:F66"/>
    <mergeCell ref="C69:D69"/>
    <mergeCell ref="E69:F69"/>
    <mergeCell ref="C35:D35"/>
    <mergeCell ref="C26:D26"/>
    <mergeCell ref="C28:D28"/>
    <mergeCell ref="E26:F26"/>
    <mergeCell ref="E28:F28"/>
    <mergeCell ref="E30:F30"/>
    <mergeCell ref="C40:D40"/>
    <mergeCell ref="E40:F40"/>
    <mergeCell ref="E31:F31"/>
    <mergeCell ref="E32:F32"/>
    <mergeCell ref="C33:D33"/>
    <mergeCell ref="E33:F33"/>
    <mergeCell ref="E35:F35"/>
    <mergeCell ref="E62:F62"/>
    <mergeCell ref="E65:F65"/>
    <mergeCell ref="B17:D17"/>
    <mergeCell ref="B16:D16"/>
    <mergeCell ref="E17:F17"/>
    <mergeCell ref="E16:F16"/>
    <mergeCell ref="E91:F91"/>
    <mergeCell ref="E89:F89"/>
    <mergeCell ref="E73:F73"/>
    <mergeCell ref="E74:F74"/>
    <mergeCell ref="E45:F45"/>
    <mergeCell ref="E43:F43"/>
    <mergeCell ref="E50:F50"/>
    <mergeCell ref="E15:F15"/>
    <mergeCell ref="C15:D15"/>
    <mergeCell ref="C62:D62"/>
    <mergeCell ref="C86:D86"/>
    <mergeCell ref="C85:D85"/>
    <mergeCell ref="C77:D77"/>
    <mergeCell ref="C75:D75"/>
    <mergeCell ref="C74:D74"/>
    <mergeCell ref="C73:D73"/>
    <mergeCell ref="C71:D71"/>
    <mergeCell ref="E46:F46"/>
    <mergeCell ref="E48:F48"/>
    <mergeCell ref="E84:F84"/>
    <mergeCell ref="E77:F77"/>
    <mergeCell ref="E81:F81"/>
    <mergeCell ref="E82:F82"/>
    <mergeCell ref="E83:F83"/>
    <mergeCell ref="E75:F75"/>
    <mergeCell ref="E71:F71"/>
    <mergeCell ref="E59:F59"/>
    <mergeCell ref="E51:F51"/>
    <mergeCell ref="E53:F53"/>
    <mergeCell ref="E54:F54"/>
    <mergeCell ref="E57:F57"/>
    <mergeCell ref="C80:D80"/>
    <mergeCell ref="C72:D72"/>
    <mergeCell ref="C89:D89"/>
    <mergeCell ref="C45:D45"/>
    <mergeCell ref="C46:D46"/>
    <mergeCell ref="C48:D48"/>
    <mergeCell ref="C50:D50"/>
    <mergeCell ref="C51:D51"/>
    <mergeCell ref="C53:D53"/>
    <mergeCell ref="C56:D56"/>
    <mergeCell ref="C57:D57"/>
    <mergeCell ref="C59:D59"/>
    <mergeCell ref="C65:D65"/>
    <mergeCell ref="C54:D54"/>
    <mergeCell ref="E90:F90"/>
    <mergeCell ref="E56:F56"/>
    <mergeCell ref="A1:B1"/>
    <mergeCell ref="A2:B2"/>
    <mergeCell ref="A3:B3"/>
    <mergeCell ref="A4:B4"/>
    <mergeCell ref="B6:E6"/>
    <mergeCell ref="B13:C13"/>
    <mergeCell ref="E20:F20"/>
    <mergeCell ref="E21:F21"/>
    <mergeCell ref="B19:D19"/>
    <mergeCell ref="E19:F19"/>
    <mergeCell ref="C32:D32"/>
    <mergeCell ref="C25:D25"/>
    <mergeCell ref="C21:D21"/>
    <mergeCell ref="C22:D22"/>
    <mergeCell ref="C23:D23"/>
    <mergeCell ref="E22:F22"/>
    <mergeCell ref="E23:F23"/>
    <mergeCell ref="E24:F24"/>
    <mergeCell ref="E25:F25"/>
    <mergeCell ref="C24:D24"/>
    <mergeCell ref="C44:D44"/>
    <mergeCell ref="E44:F44"/>
    <mergeCell ref="C49:D49"/>
    <mergeCell ref="E49:F49"/>
    <mergeCell ref="C58:D58"/>
    <mergeCell ref="E58:F58"/>
    <mergeCell ref="C63:D63"/>
    <mergeCell ref="E63:F63"/>
    <mergeCell ref="E85:F85"/>
    <mergeCell ref="E86:F86"/>
    <mergeCell ref="E72:F72"/>
    <mergeCell ref="C36:D36"/>
    <mergeCell ref="C38:D38"/>
    <mergeCell ref="C39:D39"/>
    <mergeCell ref="C43:D43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tabSelected="1" workbookViewId="0">
      <selection activeCell="G19" sqref="G19"/>
    </sheetView>
  </sheetViews>
  <sheetFormatPr defaultRowHeight="14.4" x14ac:dyDescent="0.3"/>
  <cols>
    <col min="2" max="11" width="10" customWidth="1"/>
  </cols>
  <sheetData>
    <row r="1" spans="1:11" ht="16.8" x14ac:dyDescent="0.3">
      <c r="A1" s="45" t="s">
        <v>47</v>
      </c>
      <c r="B1" s="46"/>
      <c r="C1" s="46"/>
      <c r="D1" s="46"/>
      <c r="E1" s="46"/>
      <c r="F1" s="46"/>
      <c r="G1" s="46"/>
      <c r="H1" s="46"/>
      <c r="I1" s="46"/>
      <c r="J1" s="46"/>
      <c r="K1" s="47"/>
    </row>
    <row r="2" spans="1:11" ht="16.8" x14ac:dyDescent="0.3">
      <c r="A2" s="48"/>
      <c r="B2" s="49" t="s">
        <v>56</v>
      </c>
      <c r="C2" s="49"/>
      <c r="D2" s="49" t="s">
        <v>66</v>
      </c>
      <c r="E2" s="49"/>
      <c r="F2" s="49" t="s">
        <v>54</v>
      </c>
      <c r="G2" s="49"/>
      <c r="H2" s="49" t="s">
        <v>85</v>
      </c>
      <c r="I2" s="49"/>
      <c r="J2" s="49" t="s">
        <v>86</v>
      </c>
      <c r="K2" s="50"/>
    </row>
    <row r="3" spans="1:11" ht="16.8" x14ac:dyDescent="0.3">
      <c r="A3" s="48"/>
      <c r="B3" s="13" t="s">
        <v>11</v>
      </c>
      <c r="C3" s="13" t="s">
        <v>45</v>
      </c>
      <c r="D3" s="13" t="s">
        <v>11</v>
      </c>
      <c r="E3" s="13" t="s">
        <v>45</v>
      </c>
      <c r="F3" s="13" t="s">
        <v>11</v>
      </c>
      <c r="G3" s="13" t="s">
        <v>45</v>
      </c>
      <c r="H3" s="13" t="s">
        <v>11</v>
      </c>
      <c r="I3" s="13" t="s">
        <v>45</v>
      </c>
      <c r="J3" s="13" t="s">
        <v>11</v>
      </c>
      <c r="K3" s="14" t="s">
        <v>45</v>
      </c>
    </row>
    <row r="4" spans="1:11" ht="16.8" x14ac:dyDescent="0.3">
      <c r="A4" s="17" t="s">
        <v>4</v>
      </c>
      <c r="B4" s="15">
        <f ca="1">'Sprint 1'!$D$8</f>
        <v>34.25</v>
      </c>
      <c r="C4" s="15">
        <f ca="1">'Sprint 1'!$E$8</f>
        <v>39.25</v>
      </c>
      <c r="D4" s="15">
        <f ca="1">'Sprint 1'!$D$9</f>
        <v>54</v>
      </c>
      <c r="E4" s="15">
        <f ca="1">'Sprint 1'!$E$9</f>
        <v>52</v>
      </c>
      <c r="F4" s="15">
        <f ca="1">'Sprint 1'!$D$10</f>
        <v>29.25</v>
      </c>
      <c r="G4" s="15">
        <f ca="1">'Sprint 1'!$E$10</f>
        <v>25.25</v>
      </c>
      <c r="H4" s="15">
        <f ca="1">'Sprint 1'!$D$11</f>
        <v>19.25</v>
      </c>
      <c r="I4" s="15">
        <f ca="1">'Sprint 1'!$E$11</f>
        <v>19.25</v>
      </c>
      <c r="J4" s="15">
        <f ca="1">'Sprint 1'!$D$12</f>
        <v>39.25</v>
      </c>
      <c r="K4" s="15">
        <f ca="1">'Sprint 1'!$E$12</f>
        <v>37.25</v>
      </c>
    </row>
    <row r="5" spans="1:11" ht="16.8" x14ac:dyDescent="0.3">
      <c r="A5" s="17" t="s">
        <v>32</v>
      </c>
      <c r="B5" s="15">
        <f ca="1">'Sprint 2'!$D$8</f>
        <v>58.25</v>
      </c>
      <c r="C5" s="15">
        <f ca="1">'Sprint 2'!$E$8</f>
        <v>59.25</v>
      </c>
      <c r="D5" s="15">
        <f ca="1">'Sprint 2'!$D$9</f>
        <v>58</v>
      </c>
      <c r="E5" s="15">
        <f ca="1">'Sprint 2'!$E$9</f>
        <v>56</v>
      </c>
      <c r="F5" s="15">
        <f ca="1">'Sprint 2'!$D$10</f>
        <v>50.25</v>
      </c>
      <c r="G5" s="15">
        <f ca="1">'Sprint 2'!$E$10</f>
        <v>49.25</v>
      </c>
      <c r="H5" s="15">
        <f ca="1">'Sprint 2'!$D$11</f>
        <v>54.25</v>
      </c>
      <c r="I5" s="15">
        <f ca="1">'Sprint 2'!$E$11</f>
        <v>54.25</v>
      </c>
      <c r="J5" s="15">
        <f ca="1">'Sprint 2'!$D$12</f>
        <v>22.25</v>
      </c>
      <c r="K5" s="15">
        <f ca="1">'Sprint 2'!$E$12</f>
        <v>22.25</v>
      </c>
    </row>
    <row r="6" spans="1:11" ht="16.8" x14ac:dyDescent="0.3">
      <c r="A6" s="17" t="s">
        <v>33</v>
      </c>
      <c r="B6" s="15">
        <f ca="1">'Sprint 3'!$D$8</f>
        <v>47.5</v>
      </c>
      <c r="C6" s="15">
        <f ca="1">'Sprint 3'!$E$8</f>
        <v>48.5</v>
      </c>
      <c r="D6" s="15">
        <f ca="1">'Sprint 3'!$D$9</f>
        <v>83</v>
      </c>
      <c r="E6" s="15">
        <f ca="1">'Sprint 3'!$E$9</f>
        <v>83</v>
      </c>
      <c r="F6" s="15">
        <f ca="1">'Sprint 3'!$D$10</f>
        <v>48.5</v>
      </c>
      <c r="G6" s="15">
        <f ca="1">'Sprint 3'!$E$10</f>
        <v>48.5</v>
      </c>
      <c r="H6" s="15">
        <f ca="1">'Sprint 3'!$D$11</f>
        <v>47.5</v>
      </c>
      <c r="I6" s="15">
        <f ca="1">'Sprint 3'!$E$11</f>
        <v>47.5</v>
      </c>
      <c r="J6" s="15">
        <f ca="1">'Sprint 3'!$D$12</f>
        <v>48.5</v>
      </c>
      <c r="K6" s="15">
        <f ca="1">'Sprint 3'!$E$12</f>
        <v>48.5</v>
      </c>
    </row>
    <row r="7" spans="1:11" ht="17.399999999999999" thickBot="1" x14ac:dyDescent="0.35">
      <c r="A7" s="18" t="s">
        <v>12</v>
      </c>
      <c r="B7" s="16">
        <f ca="1">SUM(B4:B6)</f>
        <v>140</v>
      </c>
      <c r="C7" s="16">
        <f t="shared" ref="C7:K7" ca="1" si="0">SUM(C4:C6)</f>
        <v>147</v>
      </c>
      <c r="D7" s="16">
        <f t="shared" ca="1" si="0"/>
        <v>195</v>
      </c>
      <c r="E7" s="16">
        <f t="shared" ca="1" si="0"/>
        <v>191</v>
      </c>
      <c r="F7" s="16">
        <f t="shared" ca="1" si="0"/>
        <v>128</v>
      </c>
      <c r="G7" s="16">
        <f t="shared" ca="1" si="0"/>
        <v>123</v>
      </c>
      <c r="H7" s="16">
        <f t="shared" ca="1" si="0"/>
        <v>121</v>
      </c>
      <c r="I7" s="16">
        <f t="shared" ca="1" si="0"/>
        <v>121</v>
      </c>
      <c r="J7" s="16">
        <f t="shared" ca="1" si="0"/>
        <v>110</v>
      </c>
      <c r="K7" s="16">
        <f t="shared" ca="1" si="0"/>
        <v>108</v>
      </c>
    </row>
    <row r="9" spans="1:11" ht="15" thickBot="1" x14ac:dyDescent="0.35"/>
    <row r="10" spans="1:11" ht="16.8" x14ac:dyDescent="0.3">
      <c r="E10" s="43" t="s">
        <v>48</v>
      </c>
      <c r="F10" s="44"/>
    </row>
    <row r="11" spans="1:11" ht="16.8" x14ac:dyDescent="0.3">
      <c r="E11" s="19" t="s">
        <v>11</v>
      </c>
      <c r="F11" s="20">
        <f ca="1">SUMIF($B$3:$K$3,"Thực tế",$B$7:$K$7)</f>
        <v>694</v>
      </c>
    </row>
    <row r="12" spans="1:11" ht="17.399999999999999" thickBot="1" x14ac:dyDescent="0.35">
      <c r="E12" s="21" t="s">
        <v>45</v>
      </c>
      <c r="F12" s="22">
        <f ca="1">SUMIF($B$3:$K$3,"Ước tính",$B$7:$K$7)</f>
        <v>690</v>
      </c>
    </row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2021-04-23T08:05:10Z</dcterms:created>
  <dcterms:modified xsi:type="dcterms:W3CDTF">2026-05-12T22:46:48Z</dcterms:modified>
</cp:coreProperties>
</file>